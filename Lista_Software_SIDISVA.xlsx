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a\Documents\Claude\Projects\Licitatie 1\doc-output\oferta\"/>
    </mc:Choice>
  </mc:AlternateContent>
  <xr:revisionPtr revIDLastSave="0" documentId="13_ncr:1_{9E9000FE-14AF-4DE5-BBBA-4A52866DF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teza" sheetId="1" r:id="rId1"/>
    <sheet name="Cantitati explicite CdS" sheetId="2" r:id="rId2"/>
    <sheet name="AppMobilaCetateni" sheetId="3" r:id="rId3"/>
    <sheet name="HL7" sheetId="4" r:id="rId4"/>
    <sheet name="Por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<sst xmlns="http://schemas.openxmlformats.org/spreadsheetml/2006/main" count="394" uniqueCount="394">
  <si>
    <t>#</t>
  </si>
  <si>
    <t>Categorie</t>
  </si>
  <si>
    <t>Componenta software</t>
  </si>
  <si>
    <t>PagCS</t>
  </si>
  <si>
    <t>Cerinta CdS (rezumat)</t>
  </si>
  <si>
    <t>Produs recomandat (oferta)</t>
  </si>
  <si>
    <t>Cantitate / Sizing</t>
  </si>
  <si>
    <t>A. Infrastructura SW</t>
  </si>
  <si>
    <t>Sistem de operare server (Linux)</t>
  </si>
  <si>
    <t>pg.52-53</t>
  </si>
  <si>
    <t>OS 64-bit, IPv6, cluster, COTS.</t>
  </si>
  <si>
    <t>RHEL 9 / Oracle Linux 9</t>
  </si>
  <si>
    <t>20-30 VM-uri</t>
  </si>
  <si>
    <t>Sistem de operare server (Windows)</t>
  </si>
  <si>
    <t>pg.52-53; pg.101-105</t>
  </si>
  <si>
    <t>4 instante honeypot + MS components.</t>
  </si>
  <si>
    <t>Win Server 2022 DC</t>
  </si>
  <si>
    <t>Min. 4 + 6-10 VM</t>
  </si>
  <si>
    <t>Platforma web server</t>
  </si>
  <si>
    <t>pg.51-52</t>
  </si>
  <si>
    <t>Cluster activ-activ, 16 nuclee/nod.</t>
  </si>
  <si>
    <t>NGINX Plus</t>
  </si>
  <si>
    <t>2 × 16 cores</t>
  </si>
  <si>
    <t>3.4.3.2.1</t>
  </si>
  <si>
    <t>Server aplicatie</t>
  </si>
  <si>
    <t>pg.52</t>
  </si>
  <si>
    <t>Cluster activ-activ.</t>
  </si>
  <si>
    <t>Microsoft IIS</t>
  </si>
  <si>
    <t>3.4.3.2.2</t>
  </si>
  <si>
    <t>SGBD principal</t>
  </si>
  <si>
    <t>pg.53-55</t>
  </si>
  <si>
    <t>Gartner Leaders, cache fusion, TDE.</t>
  </si>
  <si>
    <t>Microsoft SQL Server Enterprise</t>
  </si>
  <si>
    <t>2 × 8 cores</t>
  </si>
  <si>
    <t>3.4.3.2.4</t>
  </si>
  <si>
    <t>SGBD NoSQL</t>
  </si>
  <si>
    <t>pg.110</t>
  </si>
  <si>
    <t>Log-uri NoSQL.</t>
  </si>
  <si>
    <t>Elasticsearch</t>
  </si>
  <si>
    <t>Cluster 3 noduri</t>
  </si>
  <si>
    <t>ETL</t>
  </si>
  <si>
    <t>pg.55-57</t>
  </si>
  <si>
    <t>Multi-DB; ELT in destinatie.</t>
  </si>
  <si>
    <t>Microsoft SSIS</t>
  </si>
  <si>
    <t>16 cores</t>
  </si>
  <si>
    <t>3.4.3.2.5</t>
  </si>
  <si>
    <t>BI</t>
  </si>
  <si>
    <t>pg.57-59</t>
  </si>
  <si>
    <t>50 useri.</t>
  </si>
  <si>
    <t>Microsoft Power BI / SSRS / SSAS</t>
  </si>
  <si>
    <t>50 useri</t>
  </si>
  <si>
    <t>3.4.3.2.6</t>
  </si>
  <si>
    <t>IAM</t>
  </si>
  <si>
    <t>pg.59-60</t>
  </si>
  <si>
    <t>LDAP, OIDC, OAuth2, SAML.</t>
  </si>
  <si>
    <t>Keycloak Enterprise</t>
  </si>
  <si>
    <t>150 + 185k</t>
  </si>
  <si>
    <t>Sistem GIS</t>
  </si>
  <si>
    <t>pg.60-62</t>
  </si>
  <si>
    <t>Cartografiere; layere.</t>
  </si>
  <si>
    <t>FURNIZOR GIS</t>
  </si>
  <si>
    <t>1 server + 50 editori</t>
  </si>
  <si>
    <t>ESB</t>
  </si>
  <si>
    <t>pg.62-65</t>
  </si>
  <si>
    <t>Cluster activ-pasiv.</t>
  </si>
  <si>
    <t>Oracle Service Bus</t>
  </si>
  <si>
    <t>3.4.3.2.9</t>
  </si>
  <si>
    <t>B. Software aplicativ</t>
  </si>
  <si>
    <t>DMS</t>
  </si>
  <si>
    <t>pg.65-83</t>
  </si>
  <si>
    <t>7 module; multi-DB; web+PWA.</t>
  </si>
  <si>
    <t>ZIPPER</t>
  </si>
  <si>
    <t>Nelimitat + cod sursa</t>
  </si>
  <si>
    <t>Portal</t>
  </si>
  <si>
    <t>pg.83-86</t>
  </si>
  <si>
    <t>Cetateni/firme/medici vet; SSO; ROeID.</t>
  </si>
  <si>
    <t>VOGO Enterprise Suite</t>
  </si>
  <si>
    <t>Nelimitat</t>
  </si>
  <si>
    <t>Chatbot</t>
  </si>
  <si>
    <t>pg.86-87</t>
  </si>
  <si>
    <t>NLP RO; auto-raspuns.</t>
  </si>
  <si>
    <t>1 instanta</t>
  </si>
  <si>
    <t>Aplicatie mobila</t>
  </si>
  <si>
    <t>pg.87-88</t>
  </si>
  <si>
    <t>Nativ iOS + Android + PWA.</t>
  </si>
  <si>
    <t>Free + 99$/an</t>
  </si>
  <si>
    <t>LIMS</t>
  </si>
  <si>
    <t>pg.88-94</t>
  </si>
  <si>
    <t>Lab veterinar; HL7.</t>
  </si>
  <si>
    <t>FURNIZOR LIMS COTS</t>
  </si>
  <si>
    <t>3.4.3.3.3</t>
  </si>
  <si>
    <t>Integrare HL7</t>
  </si>
  <si>
    <t>pg.94-96</t>
  </si>
  <si>
    <t>Gateway BD &lt;-&gt; HL7.</t>
  </si>
  <si>
    <t>Mirth Connect</t>
  </si>
  <si>
    <t>C. Securitate (appliance SW)</t>
  </si>
  <si>
    <t>WAF</t>
  </si>
  <si>
    <t>pg.98-101</t>
  </si>
  <si>
    <t>OWASP Top 10.</t>
  </si>
  <si>
    <t>F5 / Imperva / FortiWeb</t>
  </si>
  <si>
    <t>2 buc</t>
  </si>
  <si>
    <t>3.4.3.4.1.1</t>
  </si>
  <si>
    <t>Honeypot</t>
  </si>
  <si>
    <t>pg.101-105</t>
  </si>
  <si>
    <t>4 Win × 4 vCPU.</t>
  </si>
  <si>
    <t>FortiDeceptor</t>
  </si>
  <si>
    <t>1 + 4 Win</t>
  </si>
  <si>
    <t>3.4.3.4.1.2</t>
  </si>
  <si>
    <t>NMS / NAC</t>
  </si>
  <si>
    <t>pg.105-108</t>
  </si>
  <si>
    <t>Min 600 dev.</t>
  </si>
  <si>
    <t>Cisco DNA / ClearPass</t>
  </si>
  <si>
    <t>1 + 600</t>
  </si>
  <si>
    <t>3.4.3.4.1.3</t>
  </si>
  <si>
    <t>SIEM</t>
  </si>
  <si>
    <t>pg.108-113</t>
  </si>
  <si>
    <t>NoSQL log; IOC 3 ani.</t>
  </si>
  <si>
    <t>Splunk ES / QRadar</t>
  </si>
  <si>
    <t>1 cluster</t>
  </si>
  <si>
    <t>Email Security</t>
  </si>
  <si>
    <t>pg.113-118</t>
  </si>
  <si>
    <t>Filtrare; sandbox.</t>
  </si>
  <si>
    <t>Cisco IronPort</t>
  </si>
  <si>
    <t>NGFW centru</t>
  </si>
  <si>
    <t>pg.118-127</t>
  </si>
  <si>
    <t>Redundant; 10 VDOM.</t>
  </si>
  <si>
    <t>FortiGate / Palo Alto</t>
  </si>
  <si>
    <t>3.4.3.4.2.1.1</t>
  </si>
  <si>
    <t>NGFW locatii</t>
  </si>
  <si>
    <t>pg.127-131</t>
  </si>
  <si>
    <t>Redundant 45 locatii.</t>
  </si>
  <si>
    <t>FortiGate 100F</t>
  </si>
  <si>
    <t>90 buc</t>
  </si>
  <si>
    <t>3.4.3.4.2.1.2</t>
  </si>
  <si>
    <t>D. Productivity / Client</t>
  </si>
  <si>
    <t>MS Office laptopuri</t>
  </si>
  <si>
    <t>pg.144-145</t>
  </si>
  <si>
    <t>Office perpetuu.</t>
  </si>
  <si>
    <t>MS Office H&amp;B 2024 OEM</t>
  </si>
  <si>
    <t>100 buc</t>
  </si>
  <si>
    <t>3.4.3.4.2.6</t>
  </si>
  <si>
    <t>MS Office complete teren</t>
  </si>
  <si>
    <t>pg.145-147</t>
  </si>
  <si>
    <t>336 buc</t>
  </si>
  <si>
    <t>3.4.3.4.2.7</t>
  </si>
  <si>
    <t>Antivirus</t>
  </si>
  <si>
    <t>n/a</t>
  </si>
  <si>
    <t>Implicit pt. endpoint.</t>
  </si>
  <si>
    <t>CrowdStrike / SentinelOne</t>
  </si>
  <si>
    <t>436+50</t>
  </si>
  <si>
    <t>Componenta</t>
  </si>
  <si>
    <t>Cantitate / Limita</t>
  </si>
  <si>
    <t>Unitate</t>
  </si>
  <si>
    <t>Sursa CdS</t>
  </si>
  <si>
    <t>Citat exact</t>
  </si>
  <si>
    <t>Web server</t>
  </si>
  <si>
    <t>16 nuclee/nod</t>
  </si>
  <si>
    <t>cores</t>
  </si>
  <si>
    <t>16 nuclee de procesare per nod</t>
  </si>
  <si>
    <t>App server</t>
  </si>
  <si>
    <t>16 nuclee/nod activ-activ</t>
  </si>
  <si>
    <t>16 nuclee per nod</t>
  </si>
  <si>
    <t>SGBD</t>
  </si>
  <si>
    <t>2 noduri × 8 cores</t>
  </si>
  <si>
    <t>noduri</t>
  </si>
  <si>
    <t>2 noduri distincte, minim 8 nuclee</t>
  </si>
  <si>
    <t>minim 16 nuclee de procesare</t>
  </si>
  <si>
    <t>named</t>
  </si>
  <si>
    <t>50 de utilizatori</t>
  </si>
  <si>
    <t>16 cores/nod activ-pasiv</t>
  </si>
  <si>
    <t>cluster activ-pasiv 16 nuclee</t>
  </si>
  <si>
    <t>Nelimitat + perpetuu + 3 ani L2+L3</t>
  </si>
  <si>
    <t>useri</t>
  </si>
  <si>
    <t>numar nelimitat de utilizatori</t>
  </si>
  <si>
    <t>SW aplicative</t>
  </si>
  <si>
    <t>Perpetuu + cod sursa</t>
  </si>
  <si>
    <t>-</t>
  </si>
  <si>
    <t>3.4.3.3.4</t>
  </si>
  <si>
    <t>licente perpetue + cod sursa integral</t>
  </si>
  <si>
    <t>NU per useri</t>
  </si>
  <si>
    <t>nu trebuie licentiat per useri</t>
  </si>
  <si>
    <t>4 Win × 4 vCPU</t>
  </si>
  <si>
    <t>instante</t>
  </si>
  <si>
    <t>4 instante capcana Windows</t>
  </si>
  <si>
    <t>NMS</t>
  </si>
  <si>
    <t>Min 600</t>
  </si>
  <si>
    <t>devices</t>
  </si>
  <si>
    <t>minimum 600 echipamente</t>
  </si>
  <si>
    <t>Min 10 VDOM</t>
  </si>
  <si>
    <t>VDOM</t>
  </si>
  <si>
    <t>10 instante virtuale</t>
  </si>
  <si>
    <t>Min 10 VDOM/echip</t>
  </si>
  <si>
    <t>Licenta pentru 10 instante</t>
  </si>
  <si>
    <t>Laptop</t>
  </si>
  <si>
    <t>device</t>
  </si>
  <si>
    <t>100 de laptopuri</t>
  </si>
  <si>
    <t>Complete teren</t>
  </si>
  <si>
    <t>336 (8×42)</t>
  </si>
  <si>
    <t>8 in fiecare DSVSA</t>
  </si>
  <si>
    <t>Institutii</t>
  </si>
  <si>
    <t>46</t>
  </si>
  <si>
    <t>3.5</t>
  </si>
  <si>
    <t>46 institutii publice</t>
  </si>
  <si>
    <t>Useri portal</t>
  </si>
  <si>
    <t>185.000/an</t>
  </si>
  <si>
    <t>185.000 utilizatori</t>
  </si>
  <si>
    <t>Servicii electronice</t>
  </si>
  <si>
    <t>56</t>
  </si>
  <si>
    <t>56 de servicii electronice</t>
  </si>
  <si>
    <t>Useri instruiti</t>
  </si>
  <si>
    <t>144 + 3 admin</t>
  </si>
  <si>
    <t>144 utilizatori, 3 administratori</t>
  </si>
  <si>
    <t>BYOL Azure</t>
  </si>
  <si>
    <t>Toate COTS BYOL</t>
  </si>
  <si>
    <t>3.4.3.1</t>
  </si>
  <si>
    <t>BYOL prin contract</t>
  </si>
  <si>
    <t>VALOARE PROIECT</t>
  </si>
  <si>
    <t>95.271.200,60 RON</t>
  </si>
  <si>
    <t>RON</t>
  </si>
  <si>
    <t>Anexa fin.</t>
  </si>
  <si>
    <t>Val. totala eligibila</t>
  </si>
  <si>
    <t>ECHIPAMENTE</t>
  </si>
  <si>
    <t>Max 20%</t>
  </si>
  <si>
    <t>maxim 20%</t>
  </si>
  <si>
    <t>SECURITATE</t>
  </si>
  <si>
    <t>Min 10%</t>
  </si>
  <si>
    <t>minim 10%</t>
  </si>
  <si>
    <t>Estimare efort - Aplicatie mobila cetateni (3.4.3.3.2.2, pg.87-88 CdS)</t>
  </si>
  <si>
    <t>Scope: Nativ iOS+Android+PWA; raportare animale salbatice; GPS+GIS central; camera; offline; ROeID+IAM Keycloak; consum ESB async; telemetrie ETL/DW; A11y WCAG 2.1 AA; OWASP MASVS L1; 3 ani garantie.</t>
  </si>
  <si>
    <t>Faza</t>
  </si>
  <si>
    <t>Estimat man-day</t>
  </si>
  <si>
    <t>Risk %</t>
  </si>
  <si>
    <t>Descriere risc</t>
  </si>
  <si>
    <t>Note / Livrabile</t>
  </si>
  <si>
    <t>1. Analiza cerinte + workshop-uri stakeholderi</t>
  </si>
  <si>
    <t>ANSVSA+DSVSA+medici vet; 5-7 workshops</t>
  </si>
  <si>
    <t>User stories; persona; backlog</t>
  </si>
  <si>
    <t>2. UX research + wireframes Lo-Fi</t>
  </si>
  <si>
    <t>Material 3 + iOS HIG + WCAG AA; 3-4 iteratii</t>
  </si>
  <si>
    <t>Wireframes; testing 5-8 useri</t>
  </si>
  <si>
    <t>3. UI design Hi-Fi + design system</t>
  </si>
  <si>
    <t>Atomic; veterinary icons; 30+ ecrane</t>
  </si>
  <si>
    <t>Figma; assets; prototype</t>
  </si>
  <si>
    <t>4. Arhitectura + ADR + setup proiect</t>
  </si>
  <si>
    <t>Nativ obligatoriu; 3 platforme CI/CD</t>
  </si>
  <si>
    <t>ADR; repo; pipeline; dev accounts</t>
  </si>
  <si>
    <t>5. Dezvoltare iOS nativ (Swift+SwiftUI)</t>
  </si>
  <si>
    <t>30+ ecrane; nav, state, persistence</t>
  </si>
  <si>
    <t>IPA; TestFlight; cov 70%</t>
  </si>
  <si>
    <t>6. Dezvoltare Android (Kotlin+Compose)</t>
  </si>
  <si>
    <t>30+ ecrane; Material 3; fragmentare</t>
  </si>
  <si>
    <t>APK/AAB; Internal Track; cov 70%</t>
  </si>
  <si>
    <t>7. PWA companion</t>
  </si>
  <si>
    <t>Service workers; offline cache; push web</t>
  </si>
  <si>
    <t>PWA installabila</t>
  </si>
  <si>
    <t>8. GPS + harta de baza + offline tiles</t>
  </si>
  <si>
    <t>MapKit/Google/Leaflet baza; tiles RO</t>
  </si>
  <si>
    <t>Modul harta; cache</t>
  </si>
  <si>
    <t>8b. Integrare cu Sistemul GIS central (WMS/WFS)</t>
  </si>
  <si>
    <t>Consum WMS+WFS server GIS central; Stereo70 vs WGS84; auth GIS; layere veterinary (focare, restrictii)</t>
  </si>
  <si>
    <t>WMS/WFS client nativ; proj conv; layer mgr</t>
  </si>
  <si>
    <t>9. Camera + foto + EXIF</t>
  </si>
  <si>
    <t>Captura, watermark timestamp+geo, upload chunked</t>
  </si>
  <si>
    <t>Modul foto; &lt;200KB upload</t>
  </si>
  <si>
    <t>10. Push notifications (APNs+FCM+web)</t>
  </si>
  <si>
    <t>Server scheduling, deep linking</t>
  </si>
  <si>
    <t>OneSignal/Firebase; topics</t>
  </si>
  <si>
    <t>11. Autentificare ROeID (UI flow mobile)</t>
  </si>
  <si>
    <t>ROeID docs limitate mobile; biometric + Keychain/Keystore</t>
  </si>
  <si>
    <t>ROeID flow nativ; fallback parola</t>
  </si>
  <si>
    <t>11b. Integrare IAM Keycloak (OAuth2 PKCE + token mgmt)</t>
  </si>
  <si>
    <t>OAuth2 PKCE nativ via Keycloak; refresh token rotation; biometric unlock pt. token; JWT validation locala (JWKS cache); silent renewal</t>
  </si>
  <si>
    <t>AppAuth SDK iOS+Android; PKCE; token storage criptat</t>
  </si>
  <si>
    <t>12. API backend sincron (BND-SNIIA + Portal + LIMS REST)</t>
  </si>
  <si>
    <t>API client SDK; retry; paginare</t>
  </si>
  <si>
    <t>SDK; error mapping; offline queue</t>
  </si>
  <si>
    <t>12b. Consum ESB / mesaje async</t>
  </si>
  <si>
    <t>Abonare topic-uri ESB (rezultat analiza, status raportare, alerte); REST polling / WebSocket bridge; fallback push</t>
  </si>
  <si>
    <t>ESB consumer adapter; WebSocket bridge</t>
  </si>
  <si>
    <t>12c. Telemetrie utilizare -&gt; ETL/DW</t>
  </si>
  <si>
    <t>Evenimente utilizare (raportare creata, login) publicate spre ETL pt. DW; producer events; nu necesita ETL direct</t>
  </si>
  <si>
    <t>Event publisher SDK; schema; batch upload</t>
  </si>
  <si>
    <t>13. Offline-first + sync queue</t>
  </si>
  <si>
    <t>Conectivitate intermitenta rural; raportari offline sync</t>
  </si>
  <si>
    <t>Queue locala; background sync</t>
  </si>
  <si>
    <t>14. Localizare RO + i18n</t>
  </si>
  <si>
    <t>RO+EN; format date/numere</t>
  </si>
  <si>
    <t>i18n strings</t>
  </si>
  <si>
    <t>15. A11y WCAG 2.1 AA</t>
  </si>
  <si>
    <t>VoiceOver+TalkBack+NVDA; contrast 4.5:1</t>
  </si>
  <si>
    <t>A11y compliant; audit</t>
  </si>
  <si>
    <t>16. Securitate OWASP MASVS L1</t>
  </si>
  <si>
    <t>Cert pinning, jailbreak, secure storage, ofuscare</t>
  </si>
  <si>
    <t>Security controls; audit intern</t>
  </si>
  <si>
    <t>17. Testare unit + integration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</si>
  <si>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</si>
  <si>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</si>
  <si>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</si>
  <si>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</si>
  <si>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</si>
  <si>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</si>
  <si>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</si>
  <si>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</si>
  <si>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</si>
  <si>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</si>
  <si>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</si>
  <si>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</si>
  <si>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</si>
  <si>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</si>
  <si>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</si>
  <si>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</si>
  <si>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</si>
  <si>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</si>
  <si>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</si>
  <si>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</si>
  <si>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</si>
  <si>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</si>
  <si>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</si>
  <si>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</si>
  <si>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</si>
  <si>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</si>
  <si>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</si>
  <si>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</si>
  <si>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</si>
  <si>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</si>
  <si>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</si>
  <si>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</si>
  <si>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</si>
  <si>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</si>
  <si>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</si>
  <si>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</si>
  <si>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</si>
  <si>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</si>
  <si>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</si>
  <si>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</si>
  <si>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</si>
  <si>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</si>
  <si>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</si>
  <si>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</si>
  <si>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</si>
  <si>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</si>
  <si>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</si>
  <si>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</si>
  <si>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</si>
  <si>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</si>
  <si>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</si>
  <si>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</si>
  <si>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</si>
  <si>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</si>
  <si>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</si>
  <si>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</si>
  <si>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</si>
  <si>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</si>
  <si>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</si>
  <si>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</si>
  <si>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</si>
  <si>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</si>
  <si>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</si>
  <si>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</si>
  <si>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</si>
  <si>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</si>
  <si>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</si>
  <si>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</si>
  <si>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</si>
  <si>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</si>
  <si>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</si>
  <si>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</si>
  <si>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</si>
  <si>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</si>
  <si>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</si>
  <si>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</si>
  <si>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</si>
  <si>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</si>
  <si>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</si>
  <si>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</si>
  <si>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</si>
  <si>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</si>
  <si>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</si>
  <si>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</si>
  <si>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</si>
  <si>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</si>
  <si>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</si>
  <si>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</si>
  <si>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</si>
  <si>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</si>
  <si>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</si>
  <si>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</si>
  <si>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</si>
  <si>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</si>
  <si>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</si>
  <si>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</si>
  <si>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</si>
  <si>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</si>
  <si>
    <t>[RECUPERAT]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</si>
</sst>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2"/>
      <color rgb="FF1F4E78"/>
      <name val="Arial"/>
    </font>
    <font>
      <i/>
      <sz val="9"/>
      <name val="Arial"/>
    </font>
    <font>
      <b/>
      <sz val="10"/>
      <name val="Arial"/>
    </font>
    <font>
      <b/>
      <sz val="11"/>
      <color rgb="FFFFFFFF"/>
      <name val="Arial"/>
    </font>
    <font>
      <strike/>
      <sz val="9"/>
      <name val="Arial"/>
      <family val="2"/>
    </font>
    <font>
      <strike/>
      <sz val="11"/>
      <color theme="1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00000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4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5" customWidth="1"/>
    <col min="2" max="2" width="22" customWidth="1"/>
    <col min="3" max="3" width="30" customWidth="1"/>
    <col min="4" max="4" width="13" customWidth="1"/>
    <col min="5" max="5" width="48" customWidth="1"/>
    <col min="6" max="6" width="30" customWidth="1"/>
    <col min="7" max="7" width="36" customWidth="1"/>
    <col min="8" max="8" width="40" customWidth="1"/>
  </cols>
  <sheetData>
    <row r="1" spans="1:7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G2" s="2" t="s">
        <v>12</v>
      </c>
    </row>
    <row r="3" spans="1:7" ht="22.8" customHeight="1" x14ac:dyDescent="0.3">
      <c r="A3" s="2">
        <v>2</v>
      </c>
      <c r="B3" s="2" t="s">
        <v>7</v>
      </c>
      <c r="C3" s="2" t="s">
        <v>13</v>
      </c>
      <c r="D3" s="3" t="s">
        <v>14</v>
      </c>
      <c r="E3" s="2" t="s">
        <v>15</v>
      </c>
      <c r="F3" s="2" t="s">
        <v>16</v>
      </c>
      <c r="G3" s="2" t="s">
        <v>17</v>
      </c>
    </row>
    <row r="4" spans="1:7" x14ac:dyDescent="0.3">
      <c r="A4" s="2">
        <v>3</v>
      </c>
      <c r="B4" s="2" t="s">
        <v>7</v>
      </c>
      <c r="C4" s="2" t="s">
        <v>18</v>
      </c>
      <c r="D4" s="3" t="s">
        <v>19</v>
      </c>
      <c r="E4" s="2" t="s">
        <v>20</v>
      </c>
      <c r="F4" s="2" t="s">
        <v>21</v>
      </c>
      <c r="G4" s="2" t="s">
        <v>22</v>
      </c>
    </row>
    <row r="5" spans="1:7" x14ac:dyDescent="0.3">
      <c r="A5" s="2">
        <v>4</v>
      </c>
      <c r="B5" s="2" t="s">
        <v>7</v>
      </c>
      <c r="C5" s="2" t="s">
        <v>24</v>
      </c>
      <c r="D5" s="3" t="s">
        <v>25</v>
      </c>
      <c r="E5" s="2" t="s">
        <v>26</v>
      </c>
      <c r="F5" s="2" t="s">
        <v>27</v>
      </c>
      <c r="G5" s="2" t="s">
        <v>22</v>
      </c>
    </row>
    <row r="6" spans="1:7" x14ac:dyDescent="0.3">
      <c r="A6" s="2">
        <v>5</v>
      </c>
      <c r="B6" s="2" t="s">
        <v>7</v>
      </c>
      <c r="C6" s="2" t="s">
        <v>29</v>
      </c>
      <c r="D6" s="3" t="s">
        <v>30</v>
      </c>
      <c r="E6" s="2" t="s">
        <v>31</v>
      </c>
      <c r="F6" s="2" t="s">
        <v>32</v>
      </c>
      <c r="G6" s="2" t="s">
        <v>33</v>
      </c>
    </row>
    <row r="7" spans="1:7" x14ac:dyDescent="0.3">
      <c r="A7" s="2">
        <v>6</v>
      </c>
      <c r="B7" s="2" t="s">
        <v>7</v>
      </c>
      <c r="C7" s="2" t="s">
        <v>35</v>
      </c>
      <c r="D7" s="3" t="s">
        <v>36</v>
      </c>
      <c r="E7" s="2" t="s">
        <v>37</v>
      </c>
      <c r="F7" s="2" t="s">
        <v>38</v>
      </c>
      <c r="G7" s="2" t="s">
        <v>39</v>
      </c>
    </row>
    <row r="8" spans="1:7" x14ac:dyDescent="0.3">
      <c r="A8" s="2">
        <v>7</v>
      </c>
      <c r="B8" s="2" t="s">
        <v>7</v>
      </c>
      <c r="C8" s="2" t="s">
        <v>40</v>
      </c>
      <c r="D8" s="3" t="s">
        <v>41</v>
      </c>
      <c r="E8" s="2" t="s">
        <v>42</v>
      </c>
      <c r="F8" s="2" t="s">
        <v>43</v>
      </c>
      <c r="G8" s="2" t="s">
        <v>44</v>
      </c>
    </row>
    <row r="9" spans="1:7" x14ac:dyDescent="0.3">
      <c r="A9" s="2">
        <v>8</v>
      </c>
      <c r="B9" s="2" t="s">
        <v>7</v>
      </c>
      <c r="C9" s="2" t="s">
        <v>46</v>
      </c>
      <c r="D9" s="3" t="s">
        <v>47</v>
      </c>
      <c r="E9" s="2" t="s">
        <v>48</v>
      </c>
      <c r="F9" s="2" t="s">
        <v>49</v>
      </c>
      <c r="G9" s="2" t="s">
        <v>50</v>
      </c>
    </row>
    <row r="10" spans="1:7" x14ac:dyDescent="0.3">
      <c r="A10" s="2">
        <v>9</v>
      </c>
      <c r="B10" s="2" t="s">
        <v>7</v>
      </c>
      <c r="C10" s="2" t="s">
        <v>52</v>
      </c>
      <c r="D10" s="3" t="s">
        <v>53</v>
      </c>
      <c r="E10" s="2" t="s">
        <v>54</v>
      </c>
      <c r="F10" s="2" t="s">
        <v>55</v>
      </c>
      <c r="G10" s="2" t="s">
        <v>56</v>
      </c>
    </row>
    <row r="11" spans="1:7" x14ac:dyDescent="0.3">
      <c r="A11" s="2">
        <v>10</v>
      </c>
      <c r="B11" s="2" t="s">
        <v>7</v>
      </c>
      <c r="C11" s="2" t="s">
        <v>57</v>
      </c>
      <c r="D11" s="3" t="s">
        <v>58</v>
      </c>
      <c r="E11" s="2" t="s">
        <v>59</v>
      </c>
      <c r="F11" s="2" t="s">
        <v>60</v>
      </c>
      <c r="G11" s="2" t="s">
        <v>61</v>
      </c>
    </row>
    <row r="12" spans="1:7" x14ac:dyDescent="0.3">
      <c r="A12" s="2">
        <v>11</v>
      </c>
      <c r="B12" s="2" t="s">
        <v>7</v>
      </c>
      <c r="C12" s="2" t="s">
        <v>62</v>
      </c>
      <c r="D12" s="3" t="s">
        <v>63</v>
      </c>
      <c r="E12" s="2" t="s">
        <v>64</v>
      </c>
      <c r="F12" s="2" t="s">
        <v>65</v>
      </c>
      <c r="G12" s="2" t="s">
        <v>22</v>
      </c>
    </row>
    <row r="13" spans="1:7" ht="22.8" customHeight="1" x14ac:dyDescent="0.3">
      <c r="A13" s="4">
        <v>12</v>
      </c>
      <c r="B13" s="4" t="s">
        <v>67</v>
      </c>
      <c r="C13" s="4" t="s">
        <v>68</v>
      </c>
      <c r="D13" s="5" t="s">
        <v>69</v>
      </c>
      <c r="E13" s="4" t="s">
        <v>70</v>
      </c>
      <c r="F13" s="4" t="s">
        <v>71</v>
      </c>
      <c r="G13" s="4" t="s">
        <v>72</v>
      </c>
    </row>
    <row r="14" spans="1:7" x14ac:dyDescent="0.3">
      <c r="A14" s="4">
        <v>13</v>
      </c>
      <c r="B14" s="4" t="s">
        <v>67</v>
      </c>
      <c r="C14" s="4" t="s">
        <v>73</v>
      </c>
      <c r="D14" s="5" t="s">
        <v>74</v>
      </c>
      <c r="E14" s="4" t="s">
        <v>75</v>
      </c>
      <c r="F14" s="4" t="s">
        <v>76</v>
      </c>
      <c r="G14" s="4" t="s">
        <v>77</v>
      </c>
    </row>
    <row r="15" spans="1:7" x14ac:dyDescent="0.3">
      <c r="A15" s="4">
        <v>14</v>
      </c>
      <c r="B15" s="4" t="s">
        <v>67</v>
      </c>
      <c r="C15" s="4" t="s">
        <v>78</v>
      </c>
      <c r="D15" s="5" t="s">
        <v>79</v>
      </c>
      <c r="E15" s="4" t="s">
        <v>80</v>
      </c>
      <c r="F15" s="4" t="s">
        <v>76</v>
      </c>
      <c r="G15" s="4" t="s">
        <v>81</v>
      </c>
    </row>
    <row r="16" spans="1:7" x14ac:dyDescent="0.3">
      <c r="A16" s="4">
        <v>15</v>
      </c>
      <c r="B16" s="4" t="s">
        <v>67</v>
      </c>
      <c r="C16" s="4" t="s">
        <v>82</v>
      </c>
      <c r="D16" s="5" t="s">
        <v>83</v>
      </c>
      <c r="E16" s="4" t="s">
        <v>84</v>
      </c>
      <c r="F16" s="4" t="s">
        <v>76</v>
      </c>
      <c r="G16" s="4" t="s">
        <v>85</v>
      </c>
    </row>
    <row r="17" spans="1:7" x14ac:dyDescent="0.3">
      <c r="A17" s="4">
        <v>16</v>
      </c>
      <c r="B17" s="4" t="s">
        <v>67</v>
      </c>
      <c r="C17" s="22" t="s">
        <v>86</v>
      </c>
      <c r="D17" s="5" t="s">
        <v>87</v>
      </c>
      <c r="E17" s="4" t="s">
        <v>88</v>
      </c>
      <c r="F17" s="4" t="s">
        <v>89</v>
      </c>
      <c r="G17" s="4" t="s">
        <v>72</v>
      </c>
    </row>
    <row r="18" spans="1:7" s="21" customFormat="1" x14ac:dyDescent="0.3">
      <c r="A18" s="19">
        <v>17</v>
      </c>
      <c r="B18" s="19" t="s">
        <v>67</v>
      </c>
      <c r="C18" s="19" t="s">
        <v>91</v>
      </c>
      <c r="D18" s="20" t="s">
        <v>92</v>
      </c>
      <c r="E18" s="19" t="s">
        <v>93</v>
      </c>
      <c r="F18" s="19" t="s">
        <v>94</v>
      </c>
      <c r="G18" s="19" t="s">
        <v>81</v>
      </c>
    </row>
    <row r="19" spans="1:7" ht="22.8" customHeight="1" x14ac:dyDescent="0.3">
      <c r="A19" s="6">
        <v>18</v>
      </c>
      <c r="B19" s="6" t="s">
        <v>95</v>
      </c>
      <c r="C19" s="6" t="s">
        <v>96</v>
      </c>
      <c r="D19" s="7" t="s">
        <v>97</v>
      </c>
      <c r="E19" s="6" t="s">
        <v>98</v>
      </c>
      <c r="F19" s="6" t="s">
        <v>99</v>
      </c>
      <c r="G19" s="6" t="s">
        <v>100</v>
      </c>
    </row>
    <row r="20" spans="1:7" ht="22.8" customHeight="1" x14ac:dyDescent="0.3">
      <c r="A20" s="6">
        <v>19</v>
      </c>
      <c r="B20" s="6" t="s">
        <v>95</v>
      </c>
      <c r="C20" s="6" t="s">
        <v>102</v>
      </c>
      <c r="D20" s="7" t="s">
        <v>103</v>
      </c>
      <c r="E20" s="6" t="s">
        <v>104</v>
      </c>
      <c r="F20" s="6" t="s">
        <v>105</v>
      </c>
      <c r="G20" s="6" t="s">
        <v>106</v>
      </c>
    </row>
    <row r="21" spans="1:7" ht="22.8" customHeight="1" x14ac:dyDescent="0.3">
      <c r="A21" s="6">
        <v>20</v>
      </c>
      <c r="B21" s="6" t="s">
        <v>95</v>
      </c>
      <c r="C21" s="6" t="s">
        <v>108</v>
      </c>
      <c r="D21" s="7" t="s">
        <v>109</v>
      </c>
      <c r="E21" s="6" t="s">
        <v>110</v>
      </c>
      <c r="F21" s="6" t="s">
        <v>111</v>
      </c>
      <c r="G21" s="6" t="s">
        <v>112</v>
      </c>
    </row>
    <row r="22" spans="1:7" ht="22.8" customHeight="1" x14ac:dyDescent="0.3">
      <c r="A22" s="6">
        <v>21</v>
      </c>
      <c r="B22" s="6" t="s">
        <v>95</v>
      </c>
      <c r="C22" s="6" t="s">
        <v>114</v>
      </c>
      <c r="D22" s="7" t="s">
        <v>115</v>
      </c>
      <c r="E22" s="6" t="s">
        <v>116</v>
      </c>
      <c r="F22" s="6" t="s">
        <v>117</v>
      </c>
      <c r="G22" s="6" t="s">
        <v>118</v>
      </c>
    </row>
    <row r="23" spans="1:7" ht="22.8" customHeight="1" x14ac:dyDescent="0.3">
      <c r="A23" s="6">
        <v>22</v>
      </c>
      <c r="B23" s="6" t="s">
        <v>95</v>
      </c>
      <c r="C23" s="6" t="s">
        <v>119</v>
      </c>
      <c r="D23" s="7" t="s">
        <v>120</v>
      </c>
      <c r="E23" s="6" t="s">
        <v>121</v>
      </c>
      <c r="F23" s="6" t="s">
        <v>122</v>
      </c>
      <c r="G23" s="6" t="s">
        <v>100</v>
      </c>
    </row>
    <row r="24" spans="1:7" ht="22.8" customHeight="1" x14ac:dyDescent="0.3">
      <c r="A24" s="6">
        <v>23</v>
      </c>
      <c r="B24" s="6" t="s">
        <v>95</v>
      </c>
      <c r="C24" s="6" t="s">
        <v>123</v>
      </c>
      <c r="D24" s="7" t="s">
        <v>124</v>
      </c>
      <c r="E24" s="6" t="s">
        <v>125</v>
      </c>
      <c r="F24" s="6" t="s">
        <v>126</v>
      </c>
      <c r="G24" s="6" t="s">
        <v>100</v>
      </c>
    </row>
    <row r="25" spans="1:7" ht="22.8" customHeight="1" x14ac:dyDescent="0.3">
      <c r="A25" s="6">
        <v>24</v>
      </c>
      <c r="B25" s="6" t="s">
        <v>95</v>
      </c>
      <c r="C25" s="6" t="s">
        <v>128</v>
      </c>
      <c r="D25" s="7" t="s">
        <v>129</v>
      </c>
      <c r="E25" s="6" t="s">
        <v>130</v>
      </c>
      <c r="F25" s="6" t="s">
        <v>131</v>
      </c>
      <c r="G25" s="6" t="s">
        <v>132</v>
      </c>
    </row>
    <row r="26" spans="1:7" x14ac:dyDescent="0.3">
      <c r="A26" s="8">
        <v>25</v>
      </c>
      <c r="B26" s="8" t="s">
        <v>134</v>
      </c>
      <c r="C26" s="8" t="s">
        <v>135</v>
      </c>
      <c r="D26" s="9" t="s">
        <v>136</v>
      </c>
      <c r="E26" s="8" t="s">
        <v>137</v>
      </c>
      <c r="F26" s="8" t="s">
        <v>138</v>
      </c>
      <c r="G26" s="8" t="s">
        <v>139</v>
      </c>
    </row>
    <row r="27" spans="1:7" x14ac:dyDescent="0.3">
      <c r="A27" s="8">
        <v>26</v>
      </c>
      <c r="B27" s="8" t="s">
        <v>134</v>
      </c>
      <c r="C27" s="8" t="s">
        <v>141</v>
      </c>
      <c r="D27" s="9" t="s">
        <v>142</v>
      </c>
      <c r="E27" s="8" t="s">
        <v>137</v>
      </c>
      <c r="F27" s="8" t="s">
        <v>138</v>
      </c>
      <c r="G27" s="8" t="s">
        <v>143</v>
      </c>
    </row>
    <row r="28" spans="1:7" x14ac:dyDescent="0.3">
      <c r="A28" s="8">
        <v>27</v>
      </c>
      <c r="B28" s="8" t="s">
        <v>134</v>
      </c>
      <c r="C28" s="8" t="s">
        <v>145</v>
      </c>
      <c r="D28" s="9" t="s">
        <v>146</v>
      </c>
      <c r="E28" s="8" t="s">
        <v>147</v>
      </c>
      <c r="F28" s="8" t="s">
        <v>148</v>
      </c>
      <c r="G28" s="8" t="s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5" customWidth="1"/>
    <col min="2" max="2" width="22" customWidth="1"/>
    <col min="3" max="3" width="12" customWidth="1"/>
    <col min="4" max="4" width="28" customWidth="1"/>
    <col min="5" max="5" width="15" customWidth="1"/>
    <col min="6" max="6" width="18" customWidth="1"/>
    <col min="7" max="7" width="50" customWidth="1"/>
  </cols>
  <sheetData>
    <row r="1" spans="1:7" ht="31.95" customHeight="1" x14ac:dyDescent="0.3">
      <c r="A1" s="1" t="s">
        <v>0</v>
      </c>
      <c r="B1" s="1" t="s">
        <v>150</v>
      </c>
      <c r="C1" s="1" t="inlineStr">
        <is>
          <t>PagCS</t>
        </is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 x14ac:dyDescent="0.3">
      <c r="A2" s="10">
        <v>1</v>
      </c>
      <c r="B2" s="10" t="s">
        <v>155</v>
      </c>
      <c r="C2" s="10"/>
      <c r="D2" s="10" t="s">
        <v>156</v>
      </c>
      <c r="E2" s="10" t="s">
        <v>157</v>
      </c>
      <c r="F2" s="10" t="s">
        <v>23</v>
      </c>
      <c r="G2" s="10" t="s">
        <v>158</v>
      </c>
    </row>
    <row r="3" spans="1:7" x14ac:dyDescent="0.3">
      <c r="A3" s="10">
        <v>2</v>
      </c>
      <c r="B3" s="10" t="s">
        <v>159</v>
      </c>
      <c r="C3" s="10"/>
      <c r="D3" s="10" t="s">
        <v>160</v>
      </c>
      <c r="E3" s="10" t="s">
        <v>157</v>
      </c>
      <c r="F3" s="10" t="s">
        <v>28</v>
      </c>
      <c r="G3" s="10" t="s">
        <v>161</v>
      </c>
    </row>
    <row r="4" spans="1:7" x14ac:dyDescent="0.3">
      <c r="A4" s="10">
        <v>3</v>
      </c>
      <c r="B4" s="10" t="s">
        <v>162</v>
      </c>
      <c r="C4" s="10"/>
      <c r="D4" s="10" t="s">
        <v>163</v>
      </c>
      <c r="E4" s="10" t="s">
        <v>164</v>
      </c>
      <c r="F4" s="10" t="s">
        <v>34</v>
      </c>
      <c r="G4" s="10" t="s">
        <v>165</v>
      </c>
    </row>
    <row r="5" spans="1:7" x14ac:dyDescent="0.3">
      <c r="A5" s="10">
        <v>4</v>
      </c>
      <c r="B5" s="10" t="s">
        <v>40</v>
      </c>
      <c r="C5" s="10"/>
      <c r="D5" s="10" t="s">
        <v>44</v>
      </c>
      <c r="E5" s="10" t="s">
        <v>157</v>
      </c>
      <c r="F5" s="10" t="s">
        <v>45</v>
      </c>
      <c r="G5" s="10" t="s">
        <v>166</v>
      </c>
    </row>
    <row r="6" spans="1:7" x14ac:dyDescent="0.3">
      <c r="A6" s="10">
        <v>5</v>
      </c>
      <c r="B6" s="10" t="s">
        <v>46</v>
      </c>
      <c r="C6" s="10"/>
      <c r="D6" s="10" t="s">
        <v>50</v>
      </c>
      <c r="E6" s="10" t="s">
        <v>167</v>
      </c>
      <c r="F6" s="10" t="s">
        <v>51</v>
      </c>
      <c r="G6" s="10" t="s">
        <v>168</v>
      </c>
    </row>
    <row r="7" spans="1:7" x14ac:dyDescent="0.3">
      <c r="A7" s="10">
        <v>6</v>
      </c>
      <c r="B7" s="10" t="s">
        <v>62</v>
      </c>
      <c r="C7" s="10"/>
      <c r="D7" s="10" t="s">
        <v>169</v>
      </c>
      <c r="E7" s="10" t="s">
        <v>157</v>
      </c>
      <c r="F7" s="10" t="s">
        <v>66</v>
      </c>
      <c r="G7" s="10" t="s">
        <v>170</v>
      </c>
    </row>
    <row r="8" spans="1:7" x14ac:dyDescent="0.3">
      <c r="A8" s="10">
        <v>7</v>
      </c>
      <c r="B8" s="10" t="s">
        <v>86</v>
      </c>
      <c r="C8" s="10"/>
      <c r="D8" s="10" t="s">
        <v>171</v>
      </c>
      <c r="E8" s="10" t="s">
        <v>172</v>
      </c>
      <c r="F8" s="10" t="s">
        <v>90</v>
      </c>
      <c r="G8" s="10" t="s">
        <v>173</v>
      </c>
    </row>
    <row r="9" spans="1:7" x14ac:dyDescent="0.3">
      <c r="A9" s="10">
        <v>8</v>
      </c>
      <c r="B9" s="10" t="s">
        <v>174</v>
      </c>
      <c r="C9" s="10"/>
      <c r="D9" s="10" t="s">
        <v>175</v>
      </c>
      <c r="E9" s="10" t="s">
        <v>176</v>
      </c>
      <c r="F9" s="10" t="s">
        <v>177</v>
      </c>
      <c r="G9" s="10" t="s">
        <v>178</v>
      </c>
    </row>
    <row r="10" spans="1:7" x14ac:dyDescent="0.3">
      <c r="A10" s="10">
        <v>9</v>
      </c>
      <c r="B10" s="10" t="s">
        <v>96</v>
      </c>
      <c r="C10" s="10"/>
      <c r="D10" s="10" t="s">
        <v>179</v>
      </c>
      <c r="E10" s="10" t="s">
        <v>176</v>
      </c>
      <c r="F10" s="10" t="s">
        <v>101</v>
      </c>
      <c r="G10" s="10" t="s">
        <v>180</v>
      </c>
    </row>
    <row r="11" spans="1:7" x14ac:dyDescent="0.3">
      <c r="A11" s="10">
        <v>10</v>
      </c>
      <c r="B11" s="10" t="s">
        <v>102</v>
      </c>
      <c r="C11" s="10"/>
      <c r="D11" s="10" t="s">
        <v>181</v>
      </c>
      <c r="E11" s="10" t="s">
        <v>182</v>
      </c>
      <c r="F11" s="10" t="s">
        <v>107</v>
      </c>
      <c r="G11" s="10" t="s">
        <v>183</v>
      </c>
    </row>
    <row r="12" spans="1:7" x14ac:dyDescent="0.3">
      <c r="A12" s="10">
        <v>11</v>
      </c>
      <c r="B12" s="10" t="s">
        <v>184</v>
      </c>
      <c r="C12" s="10"/>
      <c r="D12" s="10" t="s">
        <v>185</v>
      </c>
      <c r="E12" s="10" t="s">
        <v>186</v>
      </c>
      <c r="F12" s="10" t="s">
        <v>113</v>
      </c>
      <c r="G12" s="10" t="s">
        <v>187</v>
      </c>
    </row>
    <row r="13" spans="1:7" x14ac:dyDescent="0.3">
      <c r="A13" s="10">
        <v>12</v>
      </c>
      <c r="B13" s="10" t="s">
        <v>123</v>
      </c>
      <c r="C13" s="10"/>
      <c r="D13" s="10" t="s">
        <v>188</v>
      </c>
      <c r="E13" s="10" t="s">
        <v>189</v>
      </c>
      <c r="F13" s="10" t="s">
        <v>127</v>
      </c>
      <c r="G13" s="10" t="s">
        <v>190</v>
      </c>
    </row>
    <row r="14" spans="1:7" x14ac:dyDescent="0.3">
      <c r="A14" s="10">
        <v>13</v>
      </c>
      <c r="B14" s="10" t="s">
        <v>128</v>
      </c>
      <c r="C14" s="10"/>
      <c r="D14" s="10" t="s">
        <v>191</v>
      </c>
      <c r="E14" s="10" t="s">
        <v>189</v>
      </c>
      <c r="F14" s="10" t="s">
        <v>133</v>
      </c>
      <c r="G14" s="10" t="s">
        <v>192</v>
      </c>
    </row>
    <row r="15" spans="1:7" x14ac:dyDescent="0.3">
      <c r="A15" s="10">
        <v>14</v>
      </c>
      <c r="B15" s="10" t="s">
        <v>193</v>
      </c>
      <c r="C15" s="10"/>
      <c r="D15" s="10" t="s">
        <v>139</v>
      </c>
      <c r="E15" s="10" t="s">
        <v>194</v>
      </c>
      <c r="F15" s="10" t="s">
        <v>140</v>
      </c>
      <c r="G15" s="10" t="s">
        <v>195</v>
      </c>
    </row>
    <row r="16" spans="1:7" x14ac:dyDescent="0.3">
      <c r="A16" s="10">
        <v>15</v>
      </c>
      <c r="B16" s="10" t="s">
        <v>196</v>
      </c>
      <c r="C16" s="10"/>
      <c r="D16" s="10" t="s">
        <v>197</v>
      </c>
      <c r="E16" s="10" t="s">
        <v>194</v>
      </c>
      <c r="F16" s="10" t="s">
        <v>144</v>
      </c>
      <c r="G16" s="10" t="s">
        <v>198</v>
      </c>
    </row>
    <row r="17" spans="1:7" x14ac:dyDescent="0.3">
      <c r="A17" s="10">
        <v>16</v>
      </c>
      <c r="B17" s="10" t="s">
        <v>199</v>
      </c>
      <c r="C17" s="10"/>
      <c r="D17" s="10" t="s">
        <v>200</v>
      </c>
      <c r="E17" s="10" t="s">
        <v>176</v>
      </c>
      <c r="F17" s="10" t="s">
        <v>201</v>
      </c>
      <c r="G17" s="10" t="s">
        <v>202</v>
      </c>
    </row>
    <row r="18" spans="1:7" x14ac:dyDescent="0.3">
      <c r="A18" s="10">
        <v>17</v>
      </c>
      <c r="B18" s="10" t="s">
        <v>203</v>
      </c>
      <c r="C18" s="10"/>
      <c r="D18" s="10" t="s">
        <v>204</v>
      </c>
      <c r="E18" s="10" t="s">
        <v>172</v>
      </c>
      <c r="F18" s="10" t="s">
        <v>201</v>
      </c>
      <c r="G18" s="10" t="s">
        <v>205</v>
      </c>
    </row>
    <row r="19" spans="1:7" x14ac:dyDescent="0.3">
      <c r="A19" s="10">
        <v>18</v>
      </c>
      <c r="B19" s="10" t="s">
        <v>206</v>
      </c>
      <c r="C19" s="10"/>
      <c r="D19" s="10" t="s">
        <v>207</v>
      </c>
      <c r="E19" s="10" t="s">
        <v>176</v>
      </c>
      <c r="F19" s="10" t="s">
        <v>201</v>
      </c>
      <c r="G19" s="10" t="s">
        <v>208</v>
      </c>
    </row>
    <row r="20" spans="1:7" x14ac:dyDescent="0.3">
      <c r="A20" s="10">
        <v>19</v>
      </c>
      <c r="B20" s="10" t="s">
        <v>209</v>
      </c>
      <c r="C20" s="10"/>
      <c r="D20" s="10" t="s">
        <v>210</v>
      </c>
      <c r="E20" s="10" t="s">
        <v>172</v>
      </c>
      <c r="F20" s="10" t="s">
        <v>201</v>
      </c>
      <c r="G20" s="10" t="s">
        <v>211</v>
      </c>
    </row>
    <row r="21" spans="1:7" x14ac:dyDescent="0.3">
      <c r="A21" s="10">
        <v>20</v>
      </c>
      <c r="B21" s="10" t="s">
        <v>212</v>
      </c>
      <c r="C21" s="10"/>
      <c r="D21" s="10" t="s">
        <v>213</v>
      </c>
      <c r="E21" s="10" t="s">
        <v>176</v>
      </c>
      <c r="F21" s="10" t="s">
        <v>214</v>
      </c>
      <c r="G21" s="10" t="s">
        <v>215</v>
      </c>
    </row>
    <row r="22" spans="1:7" x14ac:dyDescent="0.3">
      <c r="A22" s="10">
        <v>21</v>
      </c>
      <c r="B22" s="10" t="s">
        <v>216</v>
      </c>
      <c r="C22" s="10"/>
      <c r="D22" s="10" t="s">
        <v>217</v>
      </c>
      <c r="E22" s="10" t="s">
        <v>218</v>
      </c>
      <c r="F22" s="10" t="s">
        <v>219</v>
      </c>
      <c r="G22" s="10" t="s">
        <v>220</v>
      </c>
    </row>
    <row r="23" spans="1:7" x14ac:dyDescent="0.3">
      <c r="A23" s="10">
        <v>22</v>
      </c>
      <c r="B23" s="10" t="s">
        <v>221</v>
      </c>
      <c r="C23" s="10"/>
      <c r="D23" s="10" t="s">
        <v>222</v>
      </c>
      <c r="E23" s="10" t="s">
        <v>218</v>
      </c>
      <c r="F23" s="10" t="s">
        <v>219</v>
      </c>
      <c r="G23" s="10" t="s">
        <v>223</v>
      </c>
    </row>
    <row r="24" spans="1:7" x14ac:dyDescent="0.3">
      <c r="A24" s="10">
        <v>23</v>
      </c>
      <c r="B24" s="10" t="s">
        <v>224</v>
      </c>
      <c r="C24" s="10"/>
      <c r="D24" s="10" t="s">
        <v>225</v>
      </c>
      <c r="E24" s="10" t="s">
        <v>218</v>
      </c>
      <c r="F24" s="10" t="s">
        <v>219</v>
      </c>
      <c r="G24" s="10" t="s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4" topLeftCell="A29" activePane="bottomLeft" state="frozen"/>
      <selection pane="bottomLeft" activeCell="A41" sqref="A41:XFD41"/>
    </sheetView>
  </sheetViews>
  <sheetFormatPr defaultRowHeight="14.4" x14ac:dyDescent="0.3"/>
  <cols>
    <col min="1" max="1" width="52" customWidth="1"/>
    <col min="2" max="2" width="18" customWidth="1"/>
    <col min="3" max="3" width="11" customWidth="1"/>
    <col min="4" max="5" width="58" customWidth="1"/>
  </cols>
  <sheetData>
    <row r="1" spans="1:5" ht="15.6" customHeight="1" x14ac:dyDescent="0.3">
      <c r="A1" s="25" t="s">
        <v>227</v>
      </c>
      <c r="B1" s="24"/>
      <c r="C1" s="24"/>
      <c r="D1" s="24"/>
      <c r="E1" s="24"/>
    </row>
    <row r="2" spans="1:5" ht="20.399999999999999" customHeight="1" x14ac:dyDescent="0.3">
      <c r="A2" s="23" t="s">
        <v>228</v>
      </c>
      <c r="B2" s="24"/>
      <c r="C2" s="24"/>
      <c r="D2" s="24"/>
      <c r="E2" s="24"/>
    </row>
    <row r="4" spans="1:5" ht="28.05" customHeight="1" x14ac:dyDescent="0.3">
      <c r="A4" s="1" t="s">
        <v>229</v>
      </c>
      <c r="B4" s="1" t="s">
        <v>230</v>
      </c>
      <c r="C4" s="1" t="s">
        <v>231</v>
      </c>
      <c r="D4" s="1" t="s">
        <v>232</v>
      </c>
      <c r="E4" s="1" t="s">
        <v>233</v>
      </c>
    </row>
    <row r="5" spans="1:5" x14ac:dyDescent="0.3">
      <c r="A5" s="10" t="s">
        <v>234</v>
      </c>
      <c r="B5" s="11">
        <v>22</v>
      </c>
      <c r="C5" s="12">
        <v>0.15</v>
      </c>
      <c r="D5" s="10" t="s">
        <v>235</v>
      </c>
      <c r="E5" s="10" t="s">
        <v>236</v>
      </c>
    </row>
    <row r="6" spans="1:5" x14ac:dyDescent="0.3">
      <c r="A6" s="10" t="s">
        <v>237</v>
      </c>
      <c r="B6" s="11">
        <v>28</v>
      </c>
      <c r="C6" s="12">
        <v>0.2</v>
      </c>
      <c r="D6" s="10" t="s">
        <v>238</v>
      </c>
      <c r="E6" s="10" t="s">
        <v>239</v>
      </c>
    </row>
    <row r="7" spans="1:5" x14ac:dyDescent="0.3">
      <c r="A7" s="10" t="s">
        <v>240</v>
      </c>
      <c r="B7" s="11">
        <v>32</v>
      </c>
      <c r="C7" s="12">
        <v>0.15</v>
      </c>
      <c r="D7" s="10" t="s">
        <v>241</v>
      </c>
      <c r="E7" s="10" t="s">
        <v>242</v>
      </c>
    </row>
    <row r="8" spans="1:5" x14ac:dyDescent="0.3">
      <c r="A8" s="10" t="s">
        <v>243</v>
      </c>
      <c r="B8" s="11">
        <v>22</v>
      </c>
      <c r="C8" s="12">
        <v>0.1</v>
      </c>
      <c r="D8" s="10" t="s">
        <v>244</v>
      </c>
      <c r="E8" s="10" t="s">
        <v>245</v>
      </c>
    </row>
    <row r="9" spans="1:5" x14ac:dyDescent="0.3">
      <c r="A9" s="10" t="s">
        <v>246</v>
      </c>
      <c r="B9" s="11">
        <v>75</v>
      </c>
      <c r="C9" s="12">
        <v>0.25</v>
      </c>
      <c r="D9" s="10" t="s">
        <v>247</v>
      </c>
      <c r="E9" s="10" t="s">
        <v>248</v>
      </c>
    </row>
    <row r="10" spans="1:5" x14ac:dyDescent="0.3">
      <c r="A10" s="10" t="s">
        <v>249</v>
      </c>
      <c r="B10" s="11">
        <v>75</v>
      </c>
      <c r="C10" s="12">
        <v>0.25</v>
      </c>
      <c r="D10" s="10" t="s">
        <v>250</v>
      </c>
      <c r="E10" s="10" t="s">
        <v>251</v>
      </c>
    </row>
    <row r="11" spans="1:5" x14ac:dyDescent="0.3">
      <c r="A11" s="10" t="s">
        <v>252</v>
      </c>
      <c r="B11" s="11">
        <v>35</v>
      </c>
      <c r="C11" s="12">
        <v>0.15</v>
      </c>
      <c r="D11" s="10" t="s">
        <v>253</v>
      </c>
      <c r="E11" s="10" t="s">
        <v>254</v>
      </c>
    </row>
    <row r="12" spans="1:5" x14ac:dyDescent="0.3">
      <c r="A12" s="10" t="s">
        <v>255</v>
      </c>
      <c r="B12" s="11">
        <v>14</v>
      </c>
      <c r="C12" s="12">
        <v>0.25</v>
      </c>
      <c r="D12" s="10" t="s">
        <v>256</v>
      </c>
      <c r="E12" s="10" t="s">
        <v>257</v>
      </c>
    </row>
    <row r="13" spans="1:5" ht="22.8" customHeight="1" x14ac:dyDescent="0.3">
      <c r="A13" s="10" t="s">
        <v>258</v>
      </c>
      <c r="B13" s="11">
        <v>15</v>
      </c>
      <c r="C13" s="12">
        <v>0.3</v>
      </c>
      <c r="D13" s="10" t="s">
        <v>259</v>
      </c>
      <c r="E13" s="10" t="s">
        <v>260</v>
      </c>
    </row>
    <row r="14" spans="1:5" x14ac:dyDescent="0.3">
      <c r="A14" s="10" t="s">
        <v>261</v>
      </c>
      <c r="B14" s="11">
        <v>14</v>
      </c>
      <c r="C14" s="12">
        <v>0.15</v>
      </c>
      <c r="D14" s="10" t="s">
        <v>262</v>
      </c>
      <c r="E14" s="10" t="s">
        <v>263</v>
      </c>
    </row>
    <row r="15" spans="1:5" x14ac:dyDescent="0.3">
      <c r="A15" s="10" t="s">
        <v>264</v>
      </c>
      <c r="B15" s="11">
        <v>12</v>
      </c>
      <c r="C15" s="12">
        <v>0.15</v>
      </c>
      <c r="D15" s="10" t="s">
        <v>265</v>
      </c>
      <c r="E15" s="10" t="s">
        <v>266</v>
      </c>
    </row>
    <row r="16" spans="1:5" x14ac:dyDescent="0.3">
      <c r="A16" s="10" t="s">
        <v>267</v>
      </c>
      <c r="B16" s="11">
        <v>22</v>
      </c>
      <c r="C16" s="12">
        <v>0.35</v>
      </c>
      <c r="D16" s="10" t="s">
        <v>268</v>
      </c>
      <c r="E16" s="10" t="s">
        <v>269</v>
      </c>
    </row>
    <row r="17" spans="1:5" ht="22.8" customHeight="1" x14ac:dyDescent="0.3">
      <c r="A17" s="10" t="s">
        <v>270</v>
      </c>
      <c r="B17" s="11">
        <v>10</v>
      </c>
      <c r="C17" s="12">
        <v>0.2</v>
      </c>
      <c r="D17" s="10" t="s">
        <v>271</v>
      </c>
      <c r="E17" s="10" t="s">
        <v>272</v>
      </c>
    </row>
    <row r="18" spans="1:5" x14ac:dyDescent="0.3">
      <c r="A18" s="10" t="s">
        <v>273</v>
      </c>
      <c r="B18" s="11">
        <v>32</v>
      </c>
      <c r="C18" s="12">
        <v>0.25</v>
      </c>
      <c r="D18" s="10" t="s">
        <v>274</v>
      </c>
      <c r="E18" s="10" t="s">
        <v>275</v>
      </c>
    </row>
    <row r="19" spans="1:5" ht="22.8" customHeight="1" x14ac:dyDescent="0.3">
      <c r="A19" s="10" t="s">
        <v>276</v>
      </c>
      <c r="B19" s="11">
        <v>18</v>
      </c>
      <c r="C19" s="12">
        <v>0.25</v>
      </c>
      <c r="D19" s="10" t="s">
        <v>277</v>
      </c>
      <c r="E19" s="10" t="s">
        <v>278</v>
      </c>
    </row>
    <row r="20" spans="1:5" ht="22.8" customHeight="1" x14ac:dyDescent="0.3">
      <c r="A20" s="10" t="s">
        <v>279</v>
      </c>
      <c r="B20" s="11">
        <v>5</v>
      </c>
      <c r="C20" s="12">
        <v>0.1</v>
      </c>
      <c r="D20" s="10" t="s">
        <v>280</v>
      </c>
      <c r="E20" s="10" t="s">
        <v>281</v>
      </c>
    </row>
    <row r="21" spans="1:5" x14ac:dyDescent="0.3">
      <c r="A21" s="10" t="s">
        <v>282</v>
      </c>
      <c r="B21" s="11">
        <v>22</v>
      </c>
      <c r="C21" s="12">
        <v>0.25</v>
      </c>
      <c r="D21" s="10" t="s">
        <v>283</v>
      </c>
      <c r="E21" s="10" t="s">
        <v>284</v>
      </c>
    </row>
    <row r="22" spans="1:5" x14ac:dyDescent="0.3">
      <c r="A22" s="10" t="s">
        <v>285</v>
      </c>
      <c r="B22" s="11">
        <v>8</v>
      </c>
      <c r="C22" s="12">
        <v>0.05</v>
      </c>
      <c r="D22" s="10" t="s">
        <v>286</v>
      </c>
      <c r="E22" s="10" t="s">
        <v>287</v>
      </c>
    </row>
    <row r="23" spans="1:5" x14ac:dyDescent="0.3">
      <c r="A23" s="10" t="s">
        <v>288</v>
      </c>
      <c r="B23" s="11">
        <v>22</v>
      </c>
      <c r="C23" s="12">
        <v>0.2</v>
      </c>
      <c r="D23" s="10" t="s">
        <v>289</v>
      </c>
      <c r="E23" s="10" t="s">
        <v>290</v>
      </c>
    </row>
    <row r="24" spans="1:5" x14ac:dyDescent="0.3">
      <c r="A24" s="10" t="s">
        <v>291</v>
      </c>
      <c r="B24" s="11">
        <v>22</v>
      </c>
      <c r="C24" s="12">
        <v>0.25</v>
      </c>
      <c r="D24" s="10" t="s">
        <v>292</v>
      </c>
      <c r="E24" s="10" t="s">
        <v>293</v>
      </c>
    </row>
    <row r="25" spans="1:5" x14ac:dyDescent="0.3">
      <c r="A25" s="10" t="s">
        <v>294</v>
      </c>
      <c r="B25" s="11">
        <v>30</v>
      </c>
      <c r="C25" s="12">
        <v>0.1</v>
      </c>
      <c r="D25" s="10" t="s">
        <v>295</v>
      </c>
      <c r="E25" s="10" t="s">
        <v>296</v>
      </c>
    </row>
    <row r="26" spans="1:5" x14ac:dyDescent="0.3">
      <c r="A26" s="10" t="s">
        <v>297</v>
      </c>
      <c r="B26" s="11">
        <v>25</v>
      </c>
      <c r="C26" s="12">
        <v>0.15</v>
      </c>
      <c r="D26" s="10" t="s">
        <v>298</v>
      </c>
      <c r="E26" s="10" t="s">
        <v>299</v>
      </c>
    </row>
    <row r="27" spans="1:5" x14ac:dyDescent="0.3">
      <c r="A27" s="10" t="s">
        <v>300</v>
      </c>
      <c r="B27" s="11">
        <v>28</v>
      </c>
      <c r="C27" s="12">
        <v>0.15</v>
      </c>
      <c r="D27" s="10" t="s">
        <v>301</v>
      </c>
      <c r="E27" s="10" t="s">
        <v>302</v>
      </c>
    </row>
    <row r="28" spans="1:5" x14ac:dyDescent="0.3">
      <c r="A28" s="10" t="s">
        <v>303</v>
      </c>
      <c r="B28" s="11">
        <v>15</v>
      </c>
      <c r="C28" s="12">
        <v>0.25</v>
      </c>
      <c r="D28" s="10" t="s">
        <v>304</v>
      </c>
      <c r="E28" s="10" t="s">
        <v>305</v>
      </c>
    </row>
    <row r="29" spans="1:5" x14ac:dyDescent="0.3">
      <c r="A29" s="10" t="s">
        <v>306</v>
      </c>
      <c r="B29" s="11">
        <v>18</v>
      </c>
      <c r="C29" s="12">
        <v>0.4</v>
      </c>
      <c r="D29" s="10" t="s">
        <v>307</v>
      </c>
      <c r="E29" s="10" t="s">
        <v>308</v>
      </c>
    </row>
    <row r="30" spans="1:5" x14ac:dyDescent="0.3">
      <c r="A30" s="10" t="s">
        <v>309</v>
      </c>
      <c r="B30" s="11">
        <v>15</v>
      </c>
      <c r="C30" s="12">
        <v>0.05</v>
      </c>
      <c r="D30" s="10" t="s">
        <v>310</v>
      </c>
      <c r="E30" s="10" t="s">
        <v>311</v>
      </c>
    </row>
    <row r="31" spans="1:5" x14ac:dyDescent="0.3">
      <c r="A31" s="10" t="s">
        <v>312</v>
      </c>
      <c r="B31" s="11">
        <v>10</v>
      </c>
      <c r="C31" s="12">
        <v>0.05</v>
      </c>
      <c r="D31" s="10" t="s">
        <v>313</v>
      </c>
      <c r="E31" s="10" t="s">
        <v>314</v>
      </c>
    </row>
    <row r="32" spans="1:5" x14ac:dyDescent="0.3">
      <c r="A32" s="10" t="s">
        <v>315</v>
      </c>
      <c r="B32" s="11">
        <v>28</v>
      </c>
      <c r="C32" s="12">
        <v>0.2</v>
      </c>
      <c r="D32" s="10" t="s">
        <v>316</v>
      </c>
      <c r="E32" s="10" t="s">
        <v>317</v>
      </c>
    </row>
    <row r="33" spans="1:5" x14ac:dyDescent="0.3">
      <c r="A33" s="10" t="s">
        <v>318</v>
      </c>
      <c r="B33" s="11">
        <v>18</v>
      </c>
      <c r="C33" s="12">
        <v>0.15</v>
      </c>
      <c r="D33" s="10" t="s">
        <v>319</v>
      </c>
      <c r="E33" s="10" t="s">
        <v>320</v>
      </c>
    </row>
    <row r="34" spans="1:5" x14ac:dyDescent="0.3">
      <c r="A34" s="13" t="s">
        <v>321</v>
      </c>
      <c r="B34" s="14">
        <f>SUM(B5:B33)</f>
        <v>692</v>
      </c>
      <c r="C34" s="15">
        <f>SUMPRODUCT(B5:B33,C5:C33)/SUM(B5:B33)</f>
        <v>0.20303468208092484</v>
      </c>
      <c r="D34" s="13" t="s">
        <v>322</v>
      </c>
      <c r="E34" s="13"/>
    </row>
    <row r="35" spans="1:5" x14ac:dyDescent="0.3">
      <c r="A35" s="16" t="s">
        <v>323</v>
      </c>
      <c r="B35" s="17">
        <f>ROUND(B34*0.2,0)</f>
        <v>138</v>
      </c>
      <c r="C35" s="16"/>
      <c r="D35" s="16"/>
      <c r="E35" s="16" t="s">
        <v>324</v>
      </c>
    </row>
    <row r="36" spans="1:5" x14ac:dyDescent="0.3">
      <c r="A36" s="18" t="s">
        <v>325</v>
      </c>
      <c r="B36" s="18">
        <f>B34+B35</f>
        <v>830</v>
      </c>
      <c r="C36" s="18"/>
      <c r="D36" s="18"/>
      <c r="E36" s="18"/>
    </row>
    <row r="38" spans="1:5" x14ac:dyDescent="0.3">
      <c r="A38" s="26" t="s">
        <v>326</v>
      </c>
      <c r="B38" s="27"/>
      <c r="C38" s="27"/>
      <c r="D38" s="27"/>
      <c r="E38" s="28"/>
    </row>
    <row r="39" spans="1:5" x14ac:dyDescent="0.3">
      <c r="A39" s="1" t="s">
        <v>229</v>
      </c>
      <c r="B39" s="1" t="s">
        <v>230</v>
      </c>
      <c r="C39" s="1" t="s">
        <v>231</v>
      </c>
      <c r="D39" s="1" t="s">
        <v>232</v>
      </c>
      <c r="E39" s="1" t="s">
        <v>233</v>
      </c>
    </row>
    <row r="40" spans="1:5" ht="22.8" customHeight="1" x14ac:dyDescent="0.3">
      <c r="A40" s="10" t="s">
        <v>327</v>
      </c>
      <c r="B40" s="11">
        <v>250</v>
      </c>
      <c r="C40" s="12">
        <v>0.25</v>
      </c>
      <c r="D40" s="10" t="s">
        <v>328</v>
      </c>
      <c r="E40" s="10" t="s">
        <v>329</v>
      </c>
    </row>
  </sheetData>
  <mergeCells count="3">
    <mergeCell ref="A2:E2"/>
    <mergeCell ref="A1:E1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>
      <pane ySplit="4" topLeftCell="A5" activePane="bottomLeft" state="frozen"/>
      <selection pane="bottomLeft" activeCell="B39" sqref="B39"/>
    </sheetView>
  </sheetViews>
  <sheetFormatPr defaultRowHeight="14.4" x14ac:dyDescent="0.3"/>
  <cols>
    <col min="1" max="1" width="52" customWidth="1"/>
    <col min="2" max="2" width="18" customWidth="1"/>
    <col min="3" max="3" width="11" customWidth="1"/>
    <col min="4" max="5" width="58" customWidth="1"/>
  </cols>
  <sheetData>
    <row r="1" spans="1:5" ht="15.6" customHeight="1" x14ac:dyDescent="0.3">
      <c r="A1" s="25" t="s">
        <v>330</v>
      </c>
      <c r="B1" s="24"/>
      <c r="C1" s="24"/>
      <c r="D1" s="24"/>
      <c r="E1" s="24"/>
    </row>
    <row r="2" spans="1:5" ht="21.6" customHeight="1" x14ac:dyDescent="0.3">
      <c r="A2" s="23" t="s">
        <v>331</v>
      </c>
      <c r="B2" s="24"/>
      <c r="C2" s="24"/>
      <c r="D2" s="24"/>
      <c r="E2" s="24"/>
    </row>
    <row r="4" spans="1:5" ht="28.05" customHeight="1" x14ac:dyDescent="0.3">
      <c r="A4" s="1" t="s">
        <v>229</v>
      </c>
      <c r="B4" s="1" t="s">
        <v>230</v>
      </c>
      <c r="C4" s="1" t="s">
        <v>231</v>
      </c>
      <c r="D4" s="1" t="s">
        <v>232</v>
      </c>
      <c r="E4" s="1" t="s">
        <v>233</v>
      </c>
    </row>
    <row r="5" spans="1:5" x14ac:dyDescent="0.3">
      <c r="A5" s="10" t="s">
        <v>332</v>
      </c>
      <c r="B5" s="11">
        <v>15</v>
      </c>
      <c r="C5" s="12">
        <v>0.25</v>
      </c>
      <c r="D5" s="10" t="s">
        <v>333</v>
      </c>
      <c r="E5" s="10" t="s">
        <v>334</v>
      </c>
    </row>
    <row r="6" spans="1:5" x14ac:dyDescent="0.3">
      <c r="A6" s="10" t="s">
        <v>335</v>
      </c>
      <c r="B6" s="11">
        <v>22</v>
      </c>
      <c r="C6" s="12">
        <v>0.3</v>
      </c>
      <c r="D6" s="10" t="s">
        <v>336</v>
      </c>
      <c r="E6" s="10" t="s">
        <v>337</v>
      </c>
    </row>
    <row r="7" spans="1:5" x14ac:dyDescent="0.3">
      <c r="A7" s="10" t="s">
        <v>338</v>
      </c>
      <c r="B7" s="11">
        <v>12</v>
      </c>
      <c r="C7" s="12">
        <v>0.1</v>
      </c>
      <c r="D7" s="10" t="s">
        <v>339</v>
      </c>
      <c r="E7" s="10" t="s">
        <v>340</v>
      </c>
    </row>
    <row r="8" spans="1:5" x14ac:dyDescent="0.3">
      <c r="A8" s="10" t="s">
        <v>341</v>
      </c>
      <c r="B8" s="11">
        <v>10</v>
      </c>
      <c r="C8" s="12">
        <v>0.15</v>
      </c>
      <c r="D8" s="10" t="s">
        <v>342</v>
      </c>
      <c r="E8" s="10" t="s">
        <v>343</v>
      </c>
    </row>
    <row r="9" spans="1:5" x14ac:dyDescent="0.3">
      <c r="A9" s="10" t="s">
        <v>344</v>
      </c>
      <c r="B9" s="11">
        <v>14</v>
      </c>
      <c r="C9" s="12">
        <v>0.15</v>
      </c>
      <c r="D9" s="10" t="s">
        <v>345</v>
      </c>
      <c r="E9" s="10" t="s">
        <v>346</v>
      </c>
    </row>
    <row r="10" spans="1:5" x14ac:dyDescent="0.3">
      <c r="A10" s="10" t="s">
        <v>347</v>
      </c>
      <c r="B10" s="11">
        <v>30</v>
      </c>
      <c r="C10" s="12">
        <v>0.25</v>
      </c>
      <c r="D10" s="10" t="s">
        <v>348</v>
      </c>
      <c r="E10" s="10" t="s">
        <v>349</v>
      </c>
    </row>
    <row r="11" spans="1:5" x14ac:dyDescent="0.3">
      <c r="A11" s="10" t="s">
        <v>350</v>
      </c>
      <c r="B11" s="11">
        <v>25</v>
      </c>
      <c r="C11" s="12">
        <v>0.25</v>
      </c>
      <c r="D11" s="10" t="s">
        <v>351</v>
      </c>
      <c r="E11" s="10" t="s">
        <v>352</v>
      </c>
    </row>
    <row r="12" spans="1:5" x14ac:dyDescent="0.3">
      <c r="A12" s="10" t="s">
        <v>353</v>
      </c>
      <c r="B12" s="11">
        <v>18</v>
      </c>
      <c r="C12" s="12">
        <v>0.2</v>
      </c>
      <c r="D12" s="10" t="s">
        <v>354</v>
      </c>
      <c r="E12" s="10" t="s">
        <v>355</v>
      </c>
    </row>
    <row r="13" spans="1:5" x14ac:dyDescent="0.3">
      <c r="A13" s="10" t="s">
        <v>356</v>
      </c>
      <c r="B13" s="11">
        <v>14</v>
      </c>
      <c r="C13" s="12">
        <v>0.15</v>
      </c>
      <c r="D13" s="10" t="s">
        <v>357</v>
      </c>
      <c r="E13" s="10" t="s">
        <v>358</v>
      </c>
    </row>
    <row r="14" spans="1:5" x14ac:dyDescent="0.3">
      <c r="A14" s="10" t="s">
        <v>359</v>
      </c>
      <c r="B14" s="11">
        <v>8</v>
      </c>
      <c r="C14" s="12">
        <v>0.1</v>
      </c>
      <c r="D14" s="10" t="s">
        <v>360</v>
      </c>
      <c r="E14" s="10" t="s">
        <v>361</v>
      </c>
    </row>
    <row r="15" spans="1:5" x14ac:dyDescent="0.3">
      <c r="A15" s="10" t="s">
        <v>362</v>
      </c>
      <c r="B15" s="11">
        <v>22</v>
      </c>
      <c r="C15" s="12">
        <v>0.2</v>
      </c>
      <c r="D15" s="10" t="s">
        <v>363</v>
      </c>
      <c r="E15" s="10" t="s">
        <v>364</v>
      </c>
    </row>
    <row r="16" spans="1:5" ht="34.200000000000003" customHeight="1" x14ac:dyDescent="0.3">
      <c r="A16" s="10" t="s">
        <v>365</v>
      </c>
      <c r="B16" s="11">
        <v>10</v>
      </c>
      <c r="C16" s="12">
        <v>0.15</v>
      </c>
      <c r="D16" s="10" t="s">
        <v>366</v>
      </c>
      <c r="E16" s="10" t="s">
        <v>367</v>
      </c>
    </row>
    <row r="17" spans="1:5" x14ac:dyDescent="0.3">
      <c r="A17" s="10" t="s">
        <v>368</v>
      </c>
      <c r="B17" s="11">
        <v>14</v>
      </c>
      <c r="C17" s="12">
        <v>0.15</v>
      </c>
      <c r="D17" s="10" t="s">
        <v>369</v>
      </c>
      <c r="E17" s="10" t="s">
        <v>370</v>
      </c>
    </row>
    <row r="18" spans="1:5" x14ac:dyDescent="0.3">
      <c r="A18" s="10" t="s">
        <v>371</v>
      </c>
      <c r="B18" s="11">
        <v>18</v>
      </c>
      <c r="C18" s="12">
        <v>0.25</v>
      </c>
      <c r="D18" s="10" t="s">
        <v>372</v>
      </c>
      <c r="E18" s="10" t="s">
        <v>373</v>
      </c>
    </row>
    <row r="19" spans="1:5" x14ac:dyDescent="0.3">
      <c r="A19" s="10" t="s">
        <v>374</v>
      </c>
      <c r="B19" s="11">
        <v>10</v>
      </c>
      <c r="C19" s="12">
        <v>0.1</v>
      </c>
      <c r="D19" s="10" t="s">
        <v>375</v>
      </c>
      <c r="E19" s="10" t="s">
        <v>376</v>
      </c>
    </row>
    <row r="20" spans="1:5" x14ac:dyDescent="0.3">
      <c r="A20" s="10" t="s">
        <v>377</v>
      </c>
      <c r="B20" s="11">
        <v>28</v>
      </c>
      <c r="C20" s="12">
        <v>0.15</v>
      </c>
      <c r="D20" s="10" t="s">
        <v>378</v>
      </c>
      <c r="E20" s="10" t="s">
        <v>379</v>
      </c>
    </row>
    <row r="21" spans="1:5" x14ac:dyDescent="0.3">
      <c r="A21" s="10" t="s">
        <v>380</v>
      </c>
      <c r="B21" s="11">
        <v>18</v>
      </c>
      <c r="C21" s="12">
        <v>0.2</v>
      </c>
      <c r="D21" s="10" t="s">
        <v>381</v>
      </c>
      <c r="E21" s="10" t="s">
        <v>382</v>
      </c>
    </row>
    <row r="22" spans="1:5" ht="22.8" customHeight="1" x14ac:dyDescent="0.3">
      <c r="A22" s="10" t="s">
        <v>383</v>
      </c>
      <c r="B22" s="11">
        <v>45</v>
      </c>
      <c r="C22" s="12">
        <v>0.45</v>
      </c>
      <c r="D22" s="10" t="s">
        <v>384</v>
      </c>
      <c r="E22" s="10" t="s">
        <v>385</v>
      </c>
    </row>
    <row r="23" spans="1:5" x14ac:dyDescent="0.3">
      <c r="A23" s="10" t="s">
        <v>386</v>
      </c>
      <c r="B23" s="11">
        <v>12</v>
      </c>
      <c r="C23" s="12">
        <v>0.15</v>
      </c>
      <c r="D23" s="10" t="s">
        <v>387</v>
      </c>
      <c r="E23" s="10" t="s">
        <v>388</v>
      </c>
    </row>
    <row r="24" spans="1:5" x14ac:dyDescent="0.3">
      <c r="A24" s="10" t="s">
        <v>389</v>
      </c>
      <c r="B24" s="11">
        <v>12</v>
      </c>
      <c r="C24" s="12">
        <v>0.05</v>
      </c>
      <c r="D24" s="10" t="s">
        <v>390</v>
      </c>
      <c r="E24" s="10" t="s">
        <v>391</v>
      </c>
    </row>
    <row r="25" spans="1:5" x14ac:dyDescent="0.3">
      <c r="A25" s="10" t="s">
        <v>392</v>
      </c>
      <c r="B25" s="11">
        <v>8</v>
      </c>
      <c r="C25" s="12">
        <v>0.05</v>
      </c>
      <c r="D25" s="10" t="s">
        <v>393</v>
      </c>
      <c r="E25" s="10" t="s">
        <v>393</v>
      </c>
    </row>
    <row r="26" spans="1:5" x14ac:dyDescent="0.3">
      <c r="A26" s="10" t="s">
        <v>393</v>
      </c>
      <c r="B26" s="11">
        <v>22</v>
      </c>
      <c r="C26" s="12">
        <v>0.25</v>
      </c>
      <c r="D26" s="10" t="s">
        <v>393</v>
      </c>
      <c r="E26" s="10" t="s">
        <v>393</v>
      </c>
    </row>
    <row r="27" spans="1:5" x14ac:dyDescent="0.3">
      <c r="A27" s="10" t="s">
        <v>393</v>
      </c>
      <c r="B27" s="11">
        <v>18</v>
      </c>
      <c r="C27" s="12">
        <v>0.25</v>
      </c>
      <c r="D27" s="10" t="s">
        <v>393</v>
      </c>
      <c r="E27" s="10" t="s">
        <v>393</v>
      </c>
    </row>
    <row r="28" spans="1:5" x14ac:dyDescent="0.3">
      <c r="A28" s="10" t="s">
        <v>393</v>
      </c>
      <c r="B28" s="11">
        <v>14</v>
      </c>
      <c r="C28" s="12">
        <v>0.15</v>
      </c>
      <c r="D28" s="10" t="s">
        <v>393</v>
      </c>
      <c r="E28" s="10" t="s">
        <v>393</v>
      </c>
    </row>
    <row r="29" spans="1:5" x14ac:dyDescent="0.3">
      <c r="A29" s="13" t="s">
        <v>321</v>
      </c>
      <c r="B29" s="14">
        <f>SUM(B5:B28)</f>
        <v>419</v>
      </c>
      <c r="C29" s="15">
        <f>SUMPRODUCT(B5:B28,C5:C28)/SUM(B5:B28)</f>
        <v>0.21921241050119331</v>
      </c>
      <c r="D29" s="13" t="s">
        <v>322</v>
      </c>
      <c r="E29" s="13"/>
    </row>
    <row r="30" spans="1:5" x14ac:dyDescent="0.3">
      <c r="A30" s="16" t="s">
        <v>323</v>
      </c>
      <c r="B30" s="17">
        <f>ROUND(B29*0.2,0)</f>
        <v>84</v>
      </c>
      <c r="C30" s="16"/>
      <c r="D30" s="16"/>
      <c r="E30" s="16" t="s">
        <v>324</v>
      </c>
    </row>
    <row r="31" spans="1:5" x14ac:dyDescent="0.3">
      <c r="A31" s="18" t="s">
        <v>325</v>
      </c>
      <c r="B31" s="18">
        <f>B29+B30</f>
        <v>503</v>
      </c>
      <c r="C31" s="18"/>
      <c r="D31" s="18"/>
      <c r="E31" s="18"/>
    </row>
    <row r="33" spans="1:5" x14ac:dyDescent="0.3">
      <c r="A33" s="26" t="s">
        <v>326</v>
      </c>
      <c r="B33" s="27"/>
      <c r="C33" s="27"/>
      <c r="D33" s="27"/>
      <c r="E33" s="28"/>
    </row>
    <row r="34" spans="1:5" x14ac:dyDescent="0.3">
      <c r="A34" s="1" t="s">
        <v>229</v>
      </c>
      <c r="B34" s="1" t="s">
        <v>230</v>
      </c>
      <c r="C34" s="1" t="s">
        <v>231</v>
      </c>
      <c r="D34" s="1" t="s">
        <v>232</v>
      </c>
      <c r="E34" s="1" t="s">
        <v>233</v>
      </c>
    </row>
    <row r="35" spans="1:5" ht="22.8" customHeight="1" x14ac:dyDescent="0.3">
      <c r="A35" s="10" t="s">
        <v>327</v>
      </c>
      <c r="B35" s="11">
        <v>200</v>
      </c>
      <c r="C35" s="12">
        <v>0.2</v>
      </c>
      <c r="D35" s="10" t="s">
        <v>393</v>
      </c>
      <c r="E35" s="10" t="s">
        <v>393</v>
      </c>
    </row>
  </sheetData>
  <mergeCells count="3">
    <mergeCell ref="A2:E2"/>
    <mergeCell ref="A1:E1"/>
    <mergeCell ref="A33:E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workbookViewId="0">
      <pane ySplit="4" topLeftCell="A38" activePane="bottomLeft" state="frozen"/>
      <selection pane="bottomLeft" activeCell="B16" sqref="B16"/>
    </sheetView>
  </sheetViews>
  <sheetFormatPr defaultRowHeight="14.4" x14ac:dyDescent="0.3"/>
  <cols>
    <col min="1" max="1" width="52" customWidth="1"/>
    <col min="2" max="2" width="18" customWidth="1"/>
    <col min="3" max="3" width="11" customWidth="1"/>
    <col min="4" max="5" width="58" customWidth="1"/>
  </cols>
  <sheetData>
    <row r="1" spans="1:5" ht="15.6" customHeight="1" x14ac:dyDescent="0.3">
      <c r="A1" s="25" t="s">
        <v>393</v>
      </c>
      <c r="B1" s="24"/>
      <c r="C1" s="24"/>
      <c r="D1" s="24"/>
      <c r="E1" s="24"/>
    </row>
    <row r="2" spans="1:5" ht="16.8" customHeight="1" x14ac:dyDescent="0.3">
      <c r="A2" s="23" t="s">
        <v>393</v>
      </c>
      <c r="B2" s="24"/>
      <c r="C2" s="24"/>
      <c r="D2" s="24"/>
      <c r="E2" s="24"/>
    </row>
    <row r="4" spans="1:5" ht="28.05" customHeight="1" x14ac:dyDescent="0.3">
      <c r="A4" s="1" t="s">
        <v>229</v>
      </c>
      <c r="B4" s="1" t="s">
        <v>230</v>
      </c>
      <c r="C4" s="1" t="s">
        <v>231</v>
      </c>
      <c r="D4" s="1" t="s">
        <v>232</v>
      </c>
      <c r="E4" s="1" t="s">
        <v>233</v>
      </c>
    </row>
    <row r="5" spans="1:5" x14ac:dyDescent="0.3">
      <c r="A5" s="10" t="s">
        <v>393</v>
      </c>
      <c r="B5" s="11">
        <v>60</v>
      </c>
      <c r="C5" s="12">
        <v>0.2</v>
      </c>
      <c r="D5" s="10" t="s">
        <v>393</v>
      </c>
      <c r="E5" s="10" t="s">
        <v>393</v>
      </c>
    </row>
    <row r="6" spans="1:5" x14ac:dyDescent="0.3">
      <c r="A6" s="10" t="s">
        <v>393</v>
      </c>
      <c r="B6" s="11">
        <v>45</v>
      </c>
      <c r="C6" s="12">
        <v>0.15</v>
      </c>
      <c r="D6" s="10" t="s">
        <v>393</v>
      </c>
      <c r="E6" s="10" t="s">
        <v>393</v>
      </c>
    </row>
    <row r="7" spans="1:5" x14ac:dyDescent="0.3">
      <c r="A7" s="10" t="s">
        <v>393</v>
      </c>
      <c r="B7" s="11">
        <v>32</v>
      </c>
      <c r="C7" s="12">
        <v>0.15</v>
      </c>
      <c r="D7" s="10" t="s">
        <v>393</v>
      </c>
      <c r="E7" s="10" t="s">
        <v>393</v>
      </c>
    </row>
    <row r="8" spans="1:5" x14ac:dyDescent="0.3">
      <c r="A8" s="10" t="s">
        <v>393</v>
      </c>
      <c r="B8" s="11">
        <v>52</v>
      </c>
      <c r="C8" s="12">
        <v>0.15</v>
      </c>
      <c r="D8" s="10" t="s">
        <v>393</v>
      </c>
      <c r="E8" s="10" t="s">
        <v>393</v>
      </c>
    </row>
    <row r="9" spans="1:5" x14ac:dyDescent="0.3">
      <c r="A9" s="10" t="s">
        <v>393</v>
      </c>
      <c r="B9" s="11">
        <v>80</v>
      </c>
      <c r="C9" s="12">
        <v>0.2</v>
      </c>
      <c r="D9" s="10" t="s">
        <v>393</v>
      </c>
      <c r="E9" s="10" t="s">
        <v>393</v>
      </c>
    </row>
    <row r="10" spans="1:5" x14ac:dyDescent="0.3">
      <c r="A10" s="10" t="s">
        <v>393</v>
      </c>
      <c r="B10" s="11">
        <v>75</v>
      </c>
      <c r="C10" s="12">
        <v>0.15</v>
      </c>
      <c r="D10" s="10" t="s">
        <v>393</v>
      </c>
      <c r="E10" s="10" t="s">
        <v>393</v>
      </c>
    </row>
    <row r="11" spans="1:5" x14ac:dyDescent="0.3">
      <c r="A11" s="10" t="s">
        <v>393</v>
      </c>
      <c r="B11" s="11">
        <v>25</v>
      </c>
      <c r="C11" s="12">
        <v>0.15</v>
      </c>
      <c r="D11" s="10" t="s">
        <v>393</v>
      </c>
      <c r="E11" s="10" t="s">
        <v>393</v>
      </c>
    </row>
    <row r="12" spans="1:5" x14ac:dyDescent="0.3">
      <c r="A12" s="10" t="s">
        <v>393</v>
      </c>
      <c r="B12" s="11">
        <v>35</v>
      </c>
      <c r="C12" s="12">
        <v>0.1</v>
      </c>
      <c r="D12" s="10" t="s">
        <v>393</v>
      </c>
      <c r="E12" s="10" t="s">
        <v>393</v>
      </c>
    </row>
    <row r="13" spans="1:5" x14ac:dyDescent="0.3">
      <c r="A13" s="10" t="s">
        <v>393</v>
      </c>
      <c r="B13" s="11">
        <v>40</v>
      </c>
      <c r="C13" s="12">
        <v>0.15</v>
      </c>
      <c r="D13" s="10" t="s">
        <v>393</v>
      </c>
      <c r="E13" s="10" t="s">
        <v>393</v>
      </c>
    </row>
    <row r="14" spans="1:5" x14ac:dyDescent="0.3">
      <c r="A14" s="10" t="s">
        <v>393</v>
      </c>
      <c r="B14" s="11">
        <v>50</v>
      </c>
      <c r="C14" s="12">
        <v>0.15</v>
      </c>
      <c r="D14" s="10" t="s">
        <v>393</v>
      </c>
      <c r="E14" s="10" t="s">
        <v>393</v>
      </c>
    </row>
    <row r="15" spans="1:5" x14ac:dyDescent="0.3">
      <c r="A15" s="10" t="s">
        <v>393</v>
      </c>
      <c r="B15" s="11">
        <v>45</v>
      </c>
      <c r="C15" s="12">
        <v>0.15</v>
      </c>
      <c r="D15" s="10" t="s">
        <v>393</v>
      </c>
      <c r="E15" s="10" t="s">
        <v>393</v>
      </c>
    </row>
    <row r="16" spans="1:5" x14ac:dyDescent="0.3">
      <c r="A16" s="10" t="s">
        <v>393</v>
      </c>
      <c r="B16" s="11">
        <v>224</v>
      </c>
      <c r="C16" s="12">
        <v>0.25</v>
      </c>
      <c r="D16" s="10" t="s">
        <v>393</v>
      </c>
      <c r="E16" s="10" t="s">
        <v>393</v>
      </c>
    </row>
    <row r="17" spans="1:5" x14ac:dyDescent="0.3">
      <c r="A17" s="10" t="s">
        <v>393</v>
      </c>
      <c r="B17" s="11">
        <v>45</v>
      </c>
      <c r="C17" s="12">
        <v>0.15</v>
      </c>
      <c r="D17" s="10" t="s">
        <v>393</v>
      </c>
      <c r="E17" s="10" t="s">
        <v>393</v>
      </c>
    </row>
    <row r="18" spans="1:5" x14ac:dyDescent="0.3">
      <c r="A18" s="10" t="s">
        <v>393</v>
      </c>
      <c r="B18" s="11">
        <v>35</v>
      </c>
      <c r="C18" s="12">
        <v>0.1</v>
      </c>
      <c r="D18" s="10" t="s">
        <v>393</v>
      </c>
      <c r="E18" s="10" t="s">
        <v>393</v>
      </c>
    </row>
    <row r="19" spans="1:5" x14ac:dyDescent="0.3">
      <c r="A19" s="10" t="s">
        <v>393</v>
      </c>
      <c r="B19" s="11">
        <v>25</v>
      </c>
      <c r="C19" s="12">
        <v>0.15</v>
      </c>
      <c r="D19" s="10" t="s">
        <v>393</v>
      </c>
      <c r="E19" s="10" t="s">
        <v>254</v>
      </c>
    </row>
    <row r="20" spans="1:5" x14ac:dyDescent="0.3">
      <c r="A20" s="10" t="s">
        <v>393</v>
      </c>
      <c r="B20" s="11">
        <v>40</v>
      </c>
      <c r="C20" s="12">
        <v>0.15</v>
      </c>
      <c r="D20" s="10" t="s">
        <v>393</v>
      </c>
      <c r="E20" s="10" t="s">
        <v>393</v>
      </c>
    </row>
    <row r="21" spans="1:5" x14ac:dyDescent="0.3">
      <c r="A21" s="10" t="s">
        <v>393</v>
      </c>
      <c r="B21" s="11">
        <v>35</v>
      </c>
      <c r="C21" s="12">
        <v>0.3</v>
      </c>
      <c r="D21" s="10" t="s">
        <v>393</v>
      </c>
      <c r="E21" s="10" t="s">
        <v>393</v>
      </c>
    </row>
    <row r="22" spans="1:5" ht="34.200000000000003" customHeight="1" x14ac:dyDescent="0.3">
      <c r="A22" s="10" t="s">
        <v>393</v>
      </c>
      <c r="B22" s="11">
        <v>25</v>
      </c>
      <c r="C22" s="12">
        <v>0.25</v>
      </c>
      <c r="D22" s="10" t="s">
        <v>393</v>
      </c>
      <c r="E22" s="10" t="s">
        <v>393</v>
      </c>
    </row>
    <row r="23" spans="1:5" x14ac:dyDescent="0.3">
      <c r="A23" s="10" t="s">
        <v>393</v>
      </c>
      <c r="B23" s="11">
        <v>336</v>
      </c>
      <c r="C23" s="12">
        <v>0.25</v>
      </c>
      <c r="D23" s="10" t="s">
        <v>393</v>
      </c>
      <c r="E23" s="10" t="s">
        <v>393</v>
      </c>
    </row>
    <row r="24" spans="1:5" x14ac:dyDescent="0.3">
      <c r="A24" s="10" t="s">
        <v>393</v>
      </c>
      <c r="B24" s="11">
        <v>60</v>
      </c>
      <c r="C24" s="12">
        <v>0.2</v>
      </c>
      <c r="D24" s="10" t="s">
        <v>393</v>
      </c>
      <c r="E24" s="10" t="s">
        <v>393</v>
      </c>
    </row>
    <row r="25" spans="1:5" x14ac:dyDescent="0.3">
      <c r="A25" s="10" t="s">
        <v>393</v>
      </c>
      <c r="B25" s="11">
        <v>28</v>
      </c>
      <c r="C25" s="12">
        <v>0.15</v>
      </c>
      <c r="D25" s="10" t="s">
        <v>393</v>
      </c>
      <c r="E25" s="10" t="s">
        <v>393</v>
      </c>
    </row>
    <row r="26" spans="1:5" x14ac:dyDescent="0.3">
      <c r="A26" s="10" t="s">
        <v>393</v>
      </c>
      <c r="B26" s="11">
        <v>35</v>
      </c>
      <c r="C26" s="12">
        <v>0.15</v>
      </c>
      <c r="D26" s="10" t="s">
        <v>393</v>
      </c>
      <c r="E26" s="10" t="s">
        <v>393</v>
      </c>
    </row>
    <row r="27" spans="1:5" ht="22.8" customHeight="1" x14ac:dyDescent="0.3">
      <c r="A27" s="10" t="s">
        <v>393</v>
      </c>
      <c r="B27" s="11">
        <v>140</v>
      </c>
      <c r="C27" s="12">
        <v>0.35</v>
      </c>
      <c r="D27" s="10" t="s">
        <v>393</v>
      </c>
      <c r="E27" s="10" t="s">
        <v>393</v>
      </c>
    </row>
    <row r="28" spans="1:5" ht="34.200000000000003" customHeight="1" x14ac:dyDescent="0.3">
      <c r="A28" s="10" t="s">
        <v>393</v>
      </c>
      <c r="B28" s="11">
        <v>50</v>
      </c>
      <c r="C28" s="12">
        <v>0.25</v>
      </c>
      <c r="D28" s="10" t="s">
        <v>393</v>
      </c>
      <c r="E28" s="10" t="s">
        <v>393</v>
      </c>
    </row>
    <row r="29" spans="1:5" ht="34.200000000000003" customHeight="1" x14ac:dyDescent="0.3">
      <c r="A29" s="10" t="s">
        <v>393</v>
      </c>
      <c r="B29" s="11">
        <v>42</v>
      </c>
      <c r="C29" s="12">
        <v>0.25</v>
      </c>
      <c r="D29" s="10" t="s">
        <v>393</v>
      </c>
      <c r="E29" s="10" t="s">
        <v>393</v>
      </c>
    </row>
    <row r="30" spans="1:5" x14ac:dyDescent="0.3">
      <c r="A30" s="10" t="s">
        <v>393</v>
      </c>
      <c r="B30" s="11">
        <v>28</v>
      </c>
      <c r="C30" s="12">
        <v>0.15</v>
      </c>
      <c r="D30" s="10" t="s">
        <v>393</v>
      </c>
      <c r="E30" s="10" t="s">
        <v>393</v>
      </c>
    </row>
    <row r="31" spans="1:5" x14ac:dyDescent="0.3">
      <c r="A31" s="10" t="s">
        <v>393</v>
      </c>
      <c r="B31" s="11">
        <v>22</v>
      </c>
      <c r="C31" s="12">
        <v>0.1</v>
      </c>
      <c r="D31" s="10" t="s">
        <v>393</v>
      </c>
      <c r="E31" s="10" t="s">
        <v>393</v>
      </c>
    </row>
    <row r="32" spans="1:5" ht="22.8" customHeight="1" x14ac:dyDescent="0.3">
      <c r="A32" s="10" t="s">
        <v>393</v>
      </c>
      <c r="B32" s="11">
        <v>18</v>
      </c>
      <c r="C32" s="12">
        <v>0.15</v>
      </c>
      <c r="D32" s="10" t="s">
        <v>393</v>
      </c>
      <c r="E32" s="10" t="s">
        <v>393</v>
      </c>
    </row>
    <row r="33" spans="1:5" ht="22.8" customHeight="1" x14ac:dyDescent="0.3">
      <c r="A33" s="10" t="s">
        <v>393</v>
      </c>
      <c r="B33" s="11">
        <v>10</v>
      </c>
      <c r="C33" s="12">
        <v>0.1</v>
      </c>
      <c r="D33" s="10" t="s">
        <v>393</v>
      </c>
      <c r="E33" s="10" t="s">
        <v>393</v>
      </c>
    </row>
    <row r="34" spans="1:5" x14ac:dyDescent="0.3">
      <c r="A34" s="10" t="s">
        <v>393</v>
      </c>
      <c r="B34" s="11">
        <v>45</v>
      </c>
      <c r="C34" s="12">
        <v>0.1</v>
      </c>
      <c r="D34" s="10" t="s">
        <v>393</v>
      </c>
      <c r="E34" s="10" t="s">
        <v>393</v>
      </c>
    </row>
    <row r="35" spans="1:5" x14ac:dyDescent="0.3">
      <c r="A35" s="10" t="s">
        <v>393</v>
      </c>
      <c r="B35" s="11">
        <v>50</v>
      </c>
      <c r="C35" s="12">
        <v>0.25</v>
      </c>
      <c r="D35" s="10" t="s">
        <v>393</v>
      </c>
      <c r="E35" s="10" t="s">
        <v>393</v>
      </c>
    </row>
    <row r="36" spans="1:5" x14ac:dyDescent="0.3">
      <c r="A36" s="10" t="s">
        <v>393</v>
      </c>
      <c r="B36" s="11">
        <v>35</v>
      </c>
      <c r="C36" s="12">
        <v>0.2</v>
      </c>
      <c r="D36" s="10" t="s">
        <v>393</v>
      </c>
      <c r="E36" s="10" t="s">
        <v>393</v>
      </c>
    </row>
    <row r="37" spans="1:5" x14ac:dyDescent="0.3">
      <c r="A37" s="10" t="s">
        <v>393</v>
      </c>
      <c r="B37" s="11">
        <v>70</v>
      </c>
      <c r="C37" s="12">
        <v>0.1</v>
      </c>
      <c r="D37" s="10" t="s">
        <v>393</v>
      </c>
      <c r="E37" s="10" t="s">
        <v>393</v>
      </c>
    </row>
    <row r="38" spans="1:5" x14ac:dyDescent="0.3">
      <c r="A38" s="10" t="s">
        <v>393</v>
      </c>
      <c r="B38" s="11">
        <v>95</v>
      </c>
      <c r="C38" s="12">
        <v>0.15</v>
      </c>
      <c r="D38" s="10" t="s">
        <v>393</v>
      </c>
      <c r="E38" s="10" t="s">
        <v>393</v>
      </c>
    </row>
    <row r="39" spans="1:5" x14ac:dyDescent="0.3">
      <c r="A39" s="10" t="s">
        <v>393</v>
      </c>
      <c r="B39" s="11">
        <v>50</v>
      </c>
      <c r="C39" s="12">
        <v>0.15</v>
      </c>
      <c r="D39" s="10" t="s">
        <v>393</v>
      </c>
      <c r="E39" s="10" t="s">
        <v>393</v>
      </c>
    </row>
    <row r="40" spans="1:5" x14ac:dyDescent="0.3">
      <c r="A40" s="10" t="s">
        <v>393</v>
      </c>
      <c r="B40" s="11">
        <v>22</v>
      </c>
      <c r="C40" s="12">
        <v>0.15</v>
      </c>
      <c r="D40" s="10" t="s">
        <v>393</v>
      </c>
      <c r="E40" s="10" t="s">
        <v>393</v>
      </c>
    </row>
    <row r="41" spans="1:5" x14ac:dyDescent="0.3">
      <c r="A41" s="10" t="s">
        <v>393</v>
      </c>
      <c r="B41" s="11">
        <v>25</v>
      </c>
      <c r="C41" s="12">
        <v>0.1</v>
      </c>
      <c r="D41" s="10" t="s">
        <v>393</v>
      </c>
      <c r="E41" s="10" t="s">
        <v>393</v>
      </c>
    </row>
    <row r="42" spans="1:5" x14ac:dyDescent="0.3">
      <c r="A42" s="10" t="s">
        <v>393</v>
      </c>
      <c r="B42" s="11">
        <v>38</v>
      </c>
      <c r="C42" s="12">
        <v>0.05</v>
      </c>
      <c r="D42" s="10" t="s">
        <v>393</v>
      </c>
      <c r="E42" s="10" t="s">
        <v>393</v>
      </c>
    </row>
    <row r="43" spans="1:5" x14ac:dyDescent="0.3">
      <c r="A43" s="10" t="s">
        <v>393</v>
      </c>
      <c r="B43" s="11">
        <v>35</v>
      </c>
      <c r="C43" s="12">
        <v>0.05</v>
      </c>
      <c r="D43" s="10" t="s">
        <v>393</v>
      </c>
      <c r="E43" s="10" t="s">
        <v>393</v>
      </c>
    </row>
    <row r="44" spans="1:5" x14ac:dyDescent="0.3">
      <c r="A44" s="10" t="s">
        <v>393</v>
      </c>
      <c r="B44" s="11">
        <v>70</v>
      </c>
      <c r="C44" s="12">
        <v>0.2</v>
      </c>
      <c r="D44" s="10" t="s">
        <v>393</v>
      </c>
      <c r="E44" s="10" t="s">
        <v>393</v>
      </c>
    </row>
    <row r="45" spans="1:5" x14ac:dyDescent="0.3">
      <c r="A45" s="10" t="s">
        <v>393</v>
      </c>
      <c r="B45" s="11">
        <v>28</v>
      </c>
      <c r="C45" s="12">
        <v>0.3</v>
      </c>
      <c r="D45" s="10" t="s">
        <v>393</v>
      </c>
      <c r="E45" s="10" t="s">
        <v>393</v>
      </c>
    </row>
    <row r="46" spans="1:5" x14ac:dyDescent="0.3">
      <c r="A46" s="10" t="s">
        <v>393</v>
      </c>
      <c r="B46" s="11">
        <v>45</v>
      </c>
      <c r="C46" s="12">
        <v>0.15</v>
      </c>
      <c r="D46" s="10" t="s">
        <v>393</v>
      </c>
      <c r="E46" s="10" t="s">
        <v>393</v>
      </c>
    </row>
    <row r="47" spans="1:5" x14ac:dyDescent="0.3">
      <c r="A47" s="10" t="s">
        <v>393</v>
      </c>
      <c r="B47" s="11">
        <v>25</v>
      </c>
      <c r="C47" s="12">
        <v>0.1</v>
      </c>
      <c r="D47" s="10" t="s">
        <v>393</v>
      </c>
      <c r="E47" s="10" t="s">
        <v>393</v>
      </c>
    </row>
    <row r="48" spans="1:5" x14ac:dyDescent="0.3">
      <c r="A48" s="13" t="s">
        <v>321</v>
      </c>
      <c r="B48" s="14">
        <f>SUM(B5:B47)</f>
        <v>2370</v>
      </c>
      <c r="C48" s="15">
        <f>SUMPRODUCT(B5:B47,C5:C47)/SUM(B5:B47)</f>
        <v>0.19419831223628689</v>
      </c>
      <c r="D48" s="13" t="s">
        <v>322</v>
      </c>
      <c r="E48" s="13"/>
    </row>
    <row r="49" spans="1:5" x14ac:dyDescent="0.3">
      <c r="A49" s="16" t="s">
        <v>323</v>
      </c>
      <c r="B49" s="17">
        <f>ROUND(B48*0.2,0)</f>
        <v>474</v>
      </c>
      <c r="C49" s="16"/>
      <c r="D49" s="16"/>
      <c r="E49" s="16" t="s">
        <v>324</v>
      </c>
    </row>
    <row r="50" spans="1:5" x14ac:dyDescent="0.3">
      <c r="A50" s="18" t="s">
        <v>325</v>
      </c>
      <c r="B50" s="18">
        <f>B48+B49</f>
        <v>2844</v>
      </c>
      <c r="C50" s="18"/>
      <c r="D50" s="18"/>
      <c r="E50" s="18"/>
    </row>
    <row r="52" spans="1:5" x14ac:dyDescent="0.3">
      <c r="A52" s="26" t="s">
        <v>326</v>
      </c>
      <c r="B52" s="27"/>
      <c r="C52" s="27"/>
      <c r="D52" s="27"/>
      <c r="E52" s="28"/>
    </row>
    <row r="53" spans="1:5" x14ac:dyDescent="0.3">
      <c r="A53" s="1" t="s">
        <v>229</v>
      </c>
      <c r="B53" s="1" t="s">
        <v>230</v>
      </c>
      <c r="C53" s="1" t="s">
        <v>231</v>
      </c>
      <c r="D53" s="1" t="s">
        <v>232</v>
      </c>
      <c r="E53" s="1" t="s">
        <v>233</v>
      </c>
    </row>
    <row r="54" spans="1:5" ht="45.6" customHeight="1" x14ac:dyDescent="0.3">
      <c r="A54" s="10" t="s">
        <v>327</v>
      </c>
      <c r="B54" s="11">
        <v>900</v>
      </c>
      <c r="C54" s="12">
        <v>0.25</v>
      </c>
      <c r="D54" s="10" t="s">
        <v>393</v>
      </c>
      <c r="E54" s="10" t="s">
        <v>393</v>
      </c>
    </row>
  </sheetData>
  <mergeCells count="3">
    <mergeCell ref="A2:E2"/>
    <mergeCell ref="A52:E52"/>
    <mergeCell ref="A1:E1"/>
  </mergeCells>
  <pageMargins left="0.75" right="0.75" top="1" bottom="1" header="0.5" footer="0.5"/>
</worksheet>
</file>