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za" sheetId="1" state="visible" r:id="rId1"/>
    <sheet xmlns:r="http://schemas.openxmlformats.org/officeDocument/2006/relationships" name="Cantitati explicite CdS" sheetId="2" state="visible" r:id="rId2"/>
    <sheet xmlns:r="http://schemas.openxmlformats.org/officeDocument/2006/relationships" name="AppMobilaCetateni" sheetId="3" state="visible" r:id="rId3"/>
    <sheet xmlns:r="http://schemas.openxmlformats.org/officeDocument/2006/relationships" name="HL7" sheetId="4" state="visible" r:id="rId4"/>
    <sheet xmlns:r="http://schemas.openxmlformats.org/officeDocument/2006/relationships" name="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8"/>
      <sz val="12"/>
    </font>
    <font>
      <name val="Arial"/>
      <i val="1"/>
      <sz val="9"/>
    </font>
    <font>
      <name val="Arial"/>
      <b val="1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9" fontId="2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3" customWidth="1" min="4" max="4"/>
    <col width="48" customWidth="1" min="5" max="5"/>
    <col width="30" customWidth="1" min="6" max="6"/>
    <col width="36" customWidth="1" min="7" max="7"/>
    <col width="24" customWidth="1" min="8" max="8"/>
    <col width="22" customWidth="1" min="9" max="9"/>
    <col width="22" customWidth="1" min="10" max="10"/>
    <col width="18" customWidth="1" min="11" max="11"/>
    <col width="40" customWidth="1" min="12" max="12"/>
  </cols>
  <sheetData>
    <row r="1" ht="38" customHeight="1">
      <c r="A1" s="1" t="inlineStr">
        <is>
          <t>#</t>
        </is>
      </c>
      <c r="B1" s="1" t="inlineStr">
        <is>
          <t>Categorie</t>
        </is>
      </c>
      <c r="C1" s="1" t="inlineStr">
        <is>
          <t>Componenta software</t>
        </is>
      </c>
      <c r="D1" s="1" t="inlineStr">
        <is>
          <t>PagCS</t>
        </is>
      </c>
      <c r="E1" s="1" t="inlineStr">
        <is>
          <t>Cerinta CdS (rezumat)</t>
        </is>
      </c>
      <c r="F1" s="1" t="inlineStr">
        <is>
          <t>Produs recomandat (oferta)</t>
        </is>
      </c>
      <c r="G1" s="1" t="inlineStr">
        <is>
          <t>Alternativa</t>
        </is>
      </c>
      <c r="H1" s="1" t="inlineStr">
        <is>
          <t>Cantitate / Sizing</t>
        </is>
      </c>
      <c r="I1" s="1" t="inlineStr">
        <is>
          <t>Unitate licentiere</t>
        </is>
      </c>
      <c r="J1" s="1" t="inlineStr">
        <is>
          <t>Locatie implementare</t>
        </is>
      </c>
      <c r="K1" s="1" t="inlineStr">
        <is>
          <t>Sursa CdS (sectiune)</t>
        </is>
      </c>
      <c r="L1" s="1" t="inlineStr">
        <is>
          <t>Intrebari / Observatii</t>
        </is>
      </c>
    </row>
    <row r="2">
      <c r="A2" s="2" t="n">
        <v>1</v>
      </c>
      <c r="B2" s="2" t="inlineStr">
        <is>
          <t>A. Infrastructura SW</t>
        </is>
      </c>
      <c r="C2" s="2" t="inlineStr">
        <is>
          <t>Sistem de operare server (Linux)</t>
        </is>
      </c>
      <c r="D2" s="3" t="inlineStr">
        <is>
          <t>pg.52-53</t>
        </is>
      </c>
      <c r="E2" s="2" t="inlineStr">
        <is>
          <t>OS 64-bit, IPv6, cluster, COTS.</t>
        </is>
      </c>
      <c r="F2" s="2" t="inlineStr">
        <is>
          <t>RHEL 9 / Oracle Linux 9</t>
        </is>
      </c>
      <c r="G2" s="2" t="inlineStr">
        <is>
          <t>Ubuntu LTS / SUSE</t>
        </is>
      </c>
      <c r="H2" s="2" t="inlineStr">
        <is>
          <t>20-30 VM-uri</t>
        </is>
      </c>
      <c r="I2" s="2" t="inlineStr">
        <is>
          <t>Per socket</t>
        </is>
      </c>
      <c r="J2" s="2" t="inlineStr">
        <is>
          <t>Cloud guv. (BYOL)</t>
        </is>
      </c>
      <c r="K2" s="2" t="inlineStr">
        <is>
          <t>3.4.3.2.3</t>
        </is>
      </c>
      <c r="L2" s="2" t="inlineStr">
        <is>
          <t>Matricea apl-&gt;OS nu e specificata</t>
        </is>
      </c>
    </row>
    <row r="3">
      <c r="A3" s="2" t="n">
        <v>2</v>
      </c>
      <c r="B3" s="2" t="inlineStr">
        <is>
          <t>A. Infrastructura SW</t>
        </is>
      </c>
      <c r="C3" s="2" t="inlineStr">
        <is>
          <t>Sistem de operare server (Windows)</t>
        </is>
      </c>
      <c r="D3" s="3" t="inlineStr">
        <is>
          <t>pg.52-53; pg.101-105</t>
        </is>
      </c>
      <c r="E3" s="2" t="inlineStr">
        <is>
          <t>4 instante honeypot + MS components.</t>
        </is>
      </c>
      <c r="F3" s="2" t="inlineStr">
        <is>
          <t>Win Server 2022 DC</t>
        </is>
      </c>
      <c r="G3" s="2" t="inlineStr">
        <is>
          <t>Win Server 2022 Std</t>
        </is>
      </c>
      <c r="H3" s="2" t="inlineStr">
        <is>
          <t>Min. 4 + 6-10 VM</t>
        </is>
      </c>
      <c r="I3" s="2" t="inlineStr">
        <is>
          <t>Per core + CAL</t>
        </is>
      </c>
      <c r="J3" s="2" t="inlineStr">
        <is>
          <t>Cloud + Centrul</t>
        </is>
      </c>
      <c r="K3" s="2" t="inlineStr">
        <is>
          <t>3.4.3.2.3</t>
        </is>
      </c>
      <c r="L3" s="2" t="inlineStr">
        <is>
          <t>Propunem majoritate Linux</t>
        </is>
      </c>
    </row>
    <row r="4">
      <c r="A4" s="2" t="n">
        <v>3</v>
      </c>
      <c r="B4" s="2" t="inlineStr">
        <is>
          <t>A. Infrastructura SW</t>
        </is>
      </c>
      <c r="C4" s="2" t="inlineStr">
        <is>
          <t>Platforma web server</t>
        </is>
      </c>
      <c r="D4" s="3" t="inlineStr">
        <is>
          <t>pg.51-52</t>
        </is>
      </c>
      <c r="E4" s="2" t="inlineStr">
        <is>
          <t>Cluster activ-activ, 16 nuclee/nod.</t>
        </is>
      </c>
      <c r="F4" s="2" t="inlineStr">
        <is>
          <t>NGINX Plus</t>
        </is>
      </c>
      <c r="G4" s="2" t="inlineStr">
        <is>
          <t>Apache / IIS</t>
        </is>
      </c>
      <c r="H4" s="2" t="inlineStr">
        <is>
          <t>2 × 16 cores</t>
        </is>
      </c>
      <c r="I4" s="2" t="inlineStr">
        <is>
          <t>Per instanta</t>
        </is>
      </c>
      <c r="J4" s="2" t="inlineStr">
        <is>
          <t>Cloud guv.</t>
        </is>
      </c>
      <c r="K4" s="2" t="inlineStr">
        <is>
          <t>3.4.3.2.1</t>
        </is>
      </c>
      <c r="L4" s="2" t="inlineStr">
        <is>
          <t>Cluster 2 sau 3?</t>
        </is>
      </c>
    </row>
    <row r="5">
      <c r="A5" s="2" t="n">
        <v>4</v>
      </c>
      <c r="B5" s="2" t="inlineStr">
        <is>
          <t>A. Infrastructura SW</t>
        </is>
      </c>
      <c r="C5" s="2" t="inlineStr">
        <is>
          <t>Server aplicatie</t>
        </is>
      </c>
      <c r="D5" s="3" t="inlineStr">
        <is>
          <t>pg.52</t>
        </is>
      </c>
      <c r="E5" s="2" t="inlineStr">
        <is>
          <t>Cluster activ-activ.</t>
        </is>
      </c>
      <c r="F5" s="2" t="inlineStr">
        <is>
          <t>Oracle WebLogic</t>
        </is>
      </c>
      <c r="G5" s="2" t="inlineStr">
        <is>
          <t>JBoss EAP / WAS</t>
        </is>
      </c>
      <c r="H5" s="2" t="inlineStr">
        <is>
          <t>2 × 16 cores</t>
        </is>
      </c>
      <c r="I5" s="2" t="inlineStr">
        <is>
          <t>Per processor</t>
        </is>
      </c>
      <c r="J5" s="2" t="inlineStr">
        <is>
          <t>Cloud guv.</t>
        </is>
      </c>
      <c r="K5" s="2" t="inlineStr">
        <is>
          <t>3.4.3.2.2</t>
        </is>
      </c>
      <c r="L5" s="2" t="inlineStr">
        <is>
          <t>WebLogic vs JBoss?</t>
        </is>
      </c>
    </row>
    <row r="6">
      <c r="A6" s="2" t="n">
        <v>5</v>
      </c>
      <c r="B6" s="2" t="inlineStr">
        <is>
          <t>A. Infrastructura SW</t>
        </is>
      </c>
      <c r="C6" s="2" t="inlineStr">
        <is>
          <t>SGBD principal</t>
        </is>
      </c>
      <c r="D6" s="3" t="inlineStr">
        <is>
          <t>pg.53-55</t>
        </is>
      </c>
      <c r="E6" s="2" t="inlineStr">
        <is>
          <t>Gartner Leaders, cache fusion, TDE.</t>
        </is>
      </c>
      <c r="F6" s="2" t="inlineStr">
        <is>
          <t>Oracle DB EE + RAC</t>
        </is>
      </c>
      <c r="G6" s="2" t="inlineStr">
        <is>
          <t>MSSQL EE + Always On (risc)</t>
        </is>
      </c>
      <c r="H6" s="2" t="inlineStr">
        <is>
          <t>2 × 8 cores</t>
        </is>
      </c>
      <c r="I6" s="2" t="inlineStr">
        <is>
          <t>Per processor</t>
        </is>
      </c>
      <c r="J6" s="2" t="inlineStr">
        <is>
          <t>Cloud guv.</t>
        </is>
      </c>
      <c r="K6" s="2" t="inlineStr">
        <is>
          <t>3.4.3.2.4</t>
        </is>
      </c>
      <c r="L6" s="2" t="inlineStr">
        <is>
          <t>Cache fusion = RAC</t>
        </is>
      </c>
    </row>
    <row r="7">
      <c r="A7" s="2" t="n">
        <v>6</v>
      </c>
      <c r="B7" s="2" t="inlineStr">
        <is>
          <t>A. Infrastructura SW</t>
        </is>
      </c>
      <c r="C7" s="2" t="inlineStr">
        <is>
          <t>SGBD NoSQL</t>
        </is>
      </c>
      <c r="D7" s="3" t="inlineStr">
        <is>
          <t>pg.110</t>
        </is>
      </c>
      <c r="E7" s="2" t="inlineStr">
        <is>
          <t>Log-uri NoSQL.</t>
        </is>
      </c>
      <c r="F7" s="2" t="inlineStr">
        <is>
          <t>Elasticsearch</t>
        </is>
      </c>
      <c r="G7" s="2" t="inlineStr">
        <is>
          <t>MongoDB / OpenSearch</t>
        </is>
      </c>
      <c r="H7" s="2" t="inlineStr">
        <is>
          <t>Cluster 3 noduri</t>
        </is>
      </c>
      <c r="I7" s="2" t="inlineStr">
        <is>
          <t>Per nod</t>
        </is>
      </c>
      <c r="J7" s="2" t="inlineStr">
        <is>
          <t>Cloud guv.</t>
        </is>
      </c>
      <c r="K7" s="2" t="inlineStr">
        <is>
          <t>3.4.3.4.1.4</t>
        </is>
      </c>
      <c r="L7" s="2" t="inlineStr">
        <is>
          <t>Volum log?</t>
        </is>
      </c>
    </row>
    <row r="8">
      <c r="A8" s="2" t="n">
        <v>7</v>
      </c>
      <c r="B8" s="2" t="inlineStr">
        <is>
          <t>A. Infrastructura SW</t>
        </is>
      </c>
      <c r="C8" s="2" t="inlineStr">
        <is>
          <t>ETL</t>
        </is>
      </c>
      <c r="D8" s="3" t="inlineStr">
        <is>
          <t>pg.55-57</t>
        </is>
      </c>
      <c r="E8" s="2" t="inlineStr">
        <is>
          <t>Multi-DB; ELT in destinatie.</t>
        </is>
      </c>
      <c r="F8" s="2" t="inlineStr">
        <is>
          <t>Oracle Data Integrator</t>
        </is>
      </c>
      <c r="G8" s="2" t="inlineStr">
        <is>
          <t>Informatica / Talend</t>
        </is>
      </c>
      <c r="H8" s="2" t="inlineStr">
        <is>
          <t>16 cores</t>
        </is>
      </c>
      <c r="I8" s="2" t="inlineStr">
        <is>
          <t>Per processor</t>
        </is>
      </c>
      <c r="J8" s="2" t="inlineStr">
        <is>
          <t>Cloud guv.</t>
        </is>
      </c>
      <c r="K8" s="2" t="inlineStr">
        <is>
          <t>3.4.3.2.5</t>
        </is>
      </c>
      <c r="L8" s="2" t="inlineStr">
        <is>
          <t>Cuplat cu SGBD</t>
        </is>
      </c>
    </row>
    <row r="9">
      <c r="A9" s="2" t="n">
        <v>8</v>
      </c>
      <c r="B9" s="2" t="inlineStr">
        <is>
          <t>A. Infrastructura SW</t>
        </is>
      </c>
      <c r="C9" s="2" t="inlineStr">
        <is>
          <t>BI</t>
        </is>
      </c>
      <c r="D9" s="3" t="inlineStr">
        <is>
          <t>pg.57-59</t>
        </is>
      </c>
      <c r="E9" s="2" t="inlineStr">
        <is>
          <t>50 useri.</t>
        </is>
      </c>
      <c r="F9" s="2" t="inlineStr">
        <is>
          <t>Oracle Analytics</t>
        </is>
      </c>
      <c r="G9" s="2" t="inlineStr">
        <is>
          <t>Power BI / Tableau / Qlik</t>
        </is>
      </c>
      <c r="H9" s="2" t="inlineStr">
        <is>
          <t>50 useri</t>
        </is>
      </c>
      <c r="I9" s="2" t="inlineStr">
        <is>
          <t>Per named user</t>
        </is>
      </c>
      <c r="J9" s="2" t="inlineStr">
        <is>
          <t>Cloud guv.</t>
        </is>
      </c>
      <c r="K9" s="2" t="inlineStr">
        <is>
          <t>3.4.3.2.6</t>
        </is>
      </c>
      <c r="L9" s="2" t="inlineStr">
        <is>
          <t>Named vs concurrent?</t>
        </is>
      </c>
    </row>
    <row r="10">
      <c r="A10" s="2" t="n">
        <v>9</v>
      </c>
      <c r="B10" s="2" t="inlineStr">
        <is>
          <t>A. Infrastructura SW</t>
        </is>
      </c>
      <c r="C10" s="2" t="inlineStr">
        <is>
          <t>IAM</t>
        </is>
      </c>
      <c r="D10" s="3" t="inlineStr">
        <is>
          <t>pg.59-60</t>
        </is>
      </c>
      <c r="E10" s="2" t="inlineStr">
        <is>
          <t>LDAP, OIDC, OAuth2, SAML.</t>
        </is>
      </c>
      <c r="F10" s="2" t="inlineStr">
        <is>
          <t>Keycloak Enterprise</t>
        </is>
      </c>
      <c r="G10" s="2" t="inlineStr">
        <is>
          <t>Entra ID / Oracle IAM</t>
        </is>
      </c>
      <c r="H10" s="2" t="inlineStr">
        <is>
          <t>150 + 185k</t>
        </is>
      </c>
      <c r="I10" s="2" t="inlineStr">
        <is>
          <t>Per user</t>
        </is>
      </c>
      <c r="J10" s="2" t="inlineStr">
        <is>
          <t>Cloud guv.</t>
        </is>
      </c>
      <c r="K10" s="2" t="inlineStr">
        <is>
          <t>3.4.3.2.7</t>
        </is>
      </c>
      <c r="L10" s="2" t="inlineStr">
        <is>
          <t>185k cetateni separat?</t>
        </is>
      </c>
    </row>
    <row r="11">
      <c r="A11" s="2" t="n">
        <v>10</v>
      </c>
      <c r="B11" s="2" t="inlineStr">
        <is>
          <t>A. Infrastructura SW</t>
        </is>
      </c>
      <c r="C11" s="2" t="inlineStr">
        <is>
          <t>Sistem GIS</t>
        </is>
      </c>
      <c r="D11" s="3" t="inlineStr">
        <is>
          <t>pg.60-62</t>
        </is>
      </c>
      <c r="E11" s="2" t="inlineStr">
        <is>
          <t>Cartografiere; layere.</t>
        </is>
      </c>
      <c r="F11" s="2" t="inlineStr">
        <is>
          <t>ESRI ArcGIS</t>
        </is>
      </c>
      <c r="G11" s="2" t="inlineStr">
        <is>
          <t>GeoServer + PostGIS</t>
        </is>
      </c>
      <c r="H11" s="2" t="inlineStr">
        <is>
          <t>1 server + 50 editori</t>
        </is>
      </c>
      <c r="I11" s="2" t="inlineStr">
        <is>
          <t>Per server</t>
        </is>
      </c>
      <c r="J11" s="2" t="inlineStr">
        <is>
          <t>Cloud guv.</t>
        </is>
      </c>
      <c r="K11" s="2" t="inlineStr">
        <is>
          <t>3.4.3.2.8</t>
        </is>
      </c>
      <c r="L11" s="2" t="inlineStr">
        <is>
          <t>Cati editori?</t>
        </is>
      </c>
    </row>
    <row r="12">
      <c r="A12" s="2" t="n">
        <v>11</v>
      </c>
      <c r="B12" s="2" t="inlineStr">
        <is>
          <t>A. Infrastructura SW</t>
        </is>
      </c>
      <c r="C12" s="2" t="inlineStr">
        <is>
          <t>ESB</t>
        </is>
      </c>
      <c r="D12" s="3" t="inlineStr">
        <is>
          <t>pg.62-65</t>
        </is>
      </c>
      <c r="E12" s="2" t="inlineStr">
        <is>
          <t>Cluster activ-pasiv.</t>
        </is>
      </c>
      <c r="F12" s="2" t="inlineStr">
        <is>
          <t>Oracle Service Bus</t>
        </is>
      </c>
      <c r="G12" s="2" t="inlineStr">
        <is>
          <t>MuleSoft / WSO2</t>
        </is>
      </c>
      <c r="H12" s="2" t="inlineStr">
        <is>
          <t>2 × 16 cores</t>
        </is>
      </c>
      <c r="I12" s="2" t="inlineStr">
        <is>
          <t>Per processor</t>
        </is>
      </c>
      <c r="J12" s="2" t="inlineStr">
        <is>
          <t>Cloud guv.</t>
        </is>
      </c>
      <c r="K12" s="2" t="inlineStr">
        <is>
          <t>3.4.3.2.9</t>
        </is>
      </c>
      <c r="L12" s="2" t="inlineStr">
        <is>
          <t>Activ-pasiv?</t>
        </is>
      </c>
    </row>
    <row r="13">
      <c r="A13" s="4" t="n">
        <v>12</v>
      </c>
      <c r="B13" s="4" t="inlineStr">
        <is>
          <t>B. Software aplicativ</t>
        </is>
      </c>
      <c r="C13" s="4" t="inlineStr">
        <is>
          <t>DMS</t>
        </is>
      </c>
      <c r="D13" s="5" t="inlineStr">
        <is>
          <t>pg.65-83</t>
        </is>
      </c>
      <c r="E13" s="4" t="inlineStr">
        <is>
          <t>7 module; multi-DB; web+PWA.</t>
        </is>
      </c>
      <c r="F13" s="4" t="inlineStr">
        <is>
          <t>VOGO ENTERPRISE BUSINESS SUITE</t>
        </is>
      </c>
      <c r="G13" s="4" t="inlineStr">
        <is>
          <t>(produs propriu)</t>
        </is>
      </c>
      <c r="H13" s="4" t="inlineStr">
        <is>
          <t>Nelimitat + cod sursa</t>
        </is>
      </c>
      <c r="I13" s="4" t="inlineStr">
        <is>
          <t>Perpetuu</t>
        </is>
      </c>
      <c r="J13" s="4" t="inlineStr">
        <is>
          <t>Cloud guv.</t>
        </is>
      </c>
      <c r="K13" s="4" t="inlineStr">
        <is>
          <t>3.4.3.3.1</t>
        </is>
      </c>
      <c r="L13" s="4" t="inlineStr">
        <is>
          <t>VOGO indeplineste</t>
        </is>
      </c>
    </row>
    <row r="14">
      <c r="A14" s="4" t="n">
        <v>13</v>
      </c>
      <c r="B14" s="4" t="inlineStr">
        <is>
          <t>B. Software aplicativ</t>
        </is>
      </c>
      <c r="C14" s="4" t="inlineStr">
        <is>
          <t>Portal</t>
        </is>
      </c>
      <c r="D14" s="5" t="inlineStr">
        <is>
          <t>pg.83-86</t>
        </is>
      </c>
      <c r="E14" s="4" t="inlineStr">
        <is>
          <t>Cetateni/firme/medici vet; SSO; ROeID.</t>
        </is>
      </c>
      <c r="F14" s="4" t="inlineStr">
        <is>
          <t>Modul VOGO Portal</t>
        </is>
      </c>
      <c r="G14" s="4" t="inlineStr">
        <is>
          <t>Liferay / Drupal</t>
        </is>
      </c>
      <c r="H14" s="4" t="inlineStr">
        <is>
          <t>Nelimitat</t>
        </is>
      </c>
      <c r="I14" s="4" t="inlineStr">
        <is>
          <t>Perpetuu</t>
        </is>
      </c>
      <c r="J14" s="4" t="inlineStr">
        <is>
          <t>Cloud guv.</t>
        </is>
      </c>
      <c r="K14" s="4" t="inlineStr">
        <is>
          <t>3.4.3.3.2</t>
        </is>
      </c>
      <c r="L14" s="4" t="inlineStr">
        <is>
          <t>Vezi sheet Portal</t>
        </is>
      </c>
    </row>
    <row r="15">
      <c r="A15" s="4" t="n">
        <v>14</v>
      </c>
      <c r="B15" s="4" t="inlineStr">
        <is>
          <t>B. Software aplicativ</t>
        </is>
      </c>
      <c r="C15" s="4" t="inlineStr">
        <is>
          <t>Chatbot</t>
        </is>
      </c>
      <c r="D15" s="5" t="inlineStr">
        <is>
          <t>pg.86-87</t>
        </is>
      </c>
      <c r="E15" s="4" t="inlineStr">
        <is>
          <t>NLP RO; auto-raspuns.</t>
        </is>
      </c>
      <c r="F15" s="4" t="inlineStr">
        <is>
          <t>Rasa / MS Bot Framework</t>
        </is>
      </c>
      <c r="G15" s="4" t="inlineStr">
        <is>
          <t>Dialogflow / Watson</t>
        </is>
      </c>
      <c r="H15" s="4" t="inlineStr">
        <is>
          <t>1 instanta</t>
        </is>
      </c>
      <c r="I15" s="4" t="inlineStr">
        <is>
          <t>Per instanta</t>
        </is>
      </c>
      <c r="J15" s="4" t="inlineStr">
        <is>
          <t>Cloud guv.</t>
        </is>
      </c>
      <c r="K15" s="4" t="inlineStr">
        <is>
          <t>3.4.3.3.2.1</t>
        </is>
      </c>
      <c r="L15" s="4" t="inlineStr">
        <is>
          <t>Min 50 intents kickoff?</t>
        </is>
      </c>
    </row>
    <row r="16">
      <c r="A16" s="4" t="n">
        <v>15</v>
      </c>
      <c r="B16" s="4" t="inlineStr">
        <is>
          <t>B. Software aplicativ</t>
        </is>
      </c>
      <c r="C16" s="4" t="inlineStr">
        <is>
          <t>Aplicatie mobila</t>
        </is>
      </c>
      <c r="D16" s="5" t="inlineStr">
        <is>
          <t>pg.87-88</t>
        </is>
      </c>
      <c r="E16" s="4" t="inlineStr">
        <is>
          <t>Nativ iOS + Android + PWA.</t>
        </is>
      </c>
      <c r="F16" s="4" t="inlineStr">
        <is>
          <t>Nativ Swift + Kotlin + PWA</t>
        </is>
      </c>
      <c r="G16" s="4" t="inlineStr">
        <is>
          <t>Flutter / RN</t>
        </is>
      </c>
      <c r="H16" s="4" t="inlineStr">
        <is>
          <t>Free + 99$/an</t>
        </is>
      </c>
      <c r="I16" s="4" t="inlineStr">
        <is>
          <t>Per Dev Account</t>
        </is>
      </c>
      <c r="J16" s="4" t="inlineStr">
        <is>
          <t>Stores</t>
        </is>
      </c>
      <c r="K16" s="4" t="inlineStr">
        <is>
          <t>3.4.3.3.2.2</t>
        </is>
      </c>
      <c r="L16" s="4" t="inlineStr">
        <is>
          <t>Vezi sheet App</t>
        </is>
      </c>
    </row>
    <row r="17">
      <c r="A17" s="4" t="n">
        <v>16</v>
      </c>
      <c r="B17" s="4" t="inlineStr">
        <is>
          <t>B. Software aplicativ</t>
        </is>
      </c>
      <c r="C17" s="4" t="inlineStr">
        <is>
          <t>LIMS</t>
        </is>
      </c>
      <c r="D17" s="5" t="inlineStr">
        <is>
          <t>pg.88-94</t>
        </is>
      </c>
      <c r="E17" s="4" t="inlineStr">
        <is>
          <t>Lab veterinar; HL7.</t>
        </is>
      </c>
      <c r="F17" s="4" t="inlineStr">
        <is>
          <t>Custom VOGO</t>
        </is>
      </c>
      <c r="G17" s="4" t="inlineStr">
        <is>
          <t>Modulo / STARLIMS</t>
        </is>
      </c>
      <c r="H17" s="4" t="inlineStr">
        <is>
          <t>Nelimitat + cod sursa</t>
        </is>
      </c>
      <c r="I17" s="4" t="inlineStr">
        <is>
          <t>Perpetuu</t>
        </is>
      </c>
      <c r="J17" s="4" t="inlineStr">
        <is>
          <t>Cloud + lab</t>
        </is>
      </c>
      <c r="K17" s="4" t="inlineStr">
        <is>
          <t>3.4.3.3.3</t>
        </is>
      </c>
      <c r="L17" s="4" t="inlineStr">
        <is>
          <t>In-house dezvoltat</t>
        </is>
      </c>
    </row>
    <row r="18">
      <c r="A18" s="4" t="n">
        <v>17</v>
      </c>
      <c r="B18" s="4" t="inlineStr">
        <is>
          <t>B. Software aplicativ</t>
        </is>
      </c>
      <c r="C18" s="4" t="inlineStr">
        <is>
          <t>HL7 gateway</t>
        </is>
      </c>
      <c r="D18" s="5" t="inlineStr">
        <is>
          <t>pg.94-96</t>
        </is>
      </c>
      <c r="E18" s="4" t="inlineStr">
        <is>
          <t>Gateway BD &lt;-&gt; HL7.</t>
        </is>
      </c>
      <c r="F18" s="4" t="inlineStr">
        <is>
          <t>Mirth Connect</t>
        </is>
      </c>
      <c r="G18" s="4" t="inlineStr">
        <is>
          <t>InterSystems / Iguana</t>
        </is>
      </c>
      <c r="H18" s="4" t="inlineStr">
        <is>
          <t>1 instanta</t>
        </is>
      </c>
      <c r="I18" s="4" t="inlineStr">
        <is>
          <t>Per instanta</t>
        </is>
      </c>
      <c r="J18" s="4" t="inlineStr">
        <is>
          <t>Cloud guv.</t>
        </is>
      </c>
      <c r="K18" s="4" t="inlineStr">
        <is>
          <t>3.4.3.3.3.2</t>
        </is>
      </c>
      <c r="L18" s="4" t="inlineStr">
        <is>
          <t>Vezi sheet HL7</t>
        </is>
      </c>
    </row>
    <row r="19">
      <c r="A19" s="6" t="n">
        <v>18</v>
      </c>
      <c r="B19" s="6" t="inlineStr">
        <is>
          <t>C. Securitate (appliance SW)</t>
        </is>
      </c>
      <c r="C19" s="6" t="inlineStr">
        <is>
          <t>WAF</t>
        </is>
      </c>
      <c r="D19" s="7" t="inlineStr">
        <is>
          <t>pg.98-101</t>
        </is>
      </c>
      <c r="E19" s="6" t="inlineStr">
        <is>
          <t>OWASP Top 10.</t>
        </is>
      </c>
      <c r="F19" s="6" t="inlineStr">
        <is>
          <t>F5 / Imperva / FortiWeb</t>
        </is>
      </c>
      <c r="G19" s="6" t="inlineStr">
        <is>
          <t>Cloudflare / Akamai</t>
        </is>
      </c>
      <c r="H19" s="6" t="inlineStr">
        <is>
          <t>2 buc</t>
        </is>
      </c>
      <c r="I19" s="6" t="inlineStr">
        <is>
          <t>Per appliance</t>
        </is>
      </c>
      <c r="J19" s="6" t="inlineStr">
        <is>
          <t>Centrul</t>
        </is>
      </c>
      <c r="K19" s="6" t="inlineStr">
        <is>
          <t>3.4.3.4.1.1</t>
        </is>
      </c>
      <c r="L19" s="6" t="inlineStr">
        <is>
          <t>HA cluster</t>
        </is>
      </c>
    </row>
    <row r="20">
      <c r="A20" s="6" t="n">
        <v>19</v>
      </c>
      <c r="B20" s="6" t="inlineStr">
        <is>
          <t>C. Securitate (appliance SW)</t>
        </is>
      </c>
      <c r="C20" s="6" t="inlineStr">
        <is>
          <t>Honeypot</t>
        </is>
      </c>
      <c r="D20" s="7" t="inlineStr">
        <is>
          <t>pg.101-105</t>
        </is>
      </c>
      <c r="E20" s="6" t="inlineStr">
        <is>
          <t>4 Win × 4 vCPU.</t>
        </is>
      </c>
      <c r="F20" s="6" t="inlineStr">
        <is>
          <t>FortiDeceptor</t>
        </is>
      </c>
      <c r="G20" s="6" t="inlineStr">
        <is>
          <t>SentinelOne / TrapX</t>
        </is>
      </c>
      <c r="H20" s="6" t="inlineStr">
        <is>
          <t>1 + 4 Win</t>
        </is>
      </c>
      <c r="I20" s="6" t="inlineStr">
        <is>
          <t>Per appliance</t>
        </is>
      </c>
      <c r="J20" s="6" t="inlineStr">
        <is>
          <t>Centrul</t>
        </is>
      </c>
      <c r="K20" s="6" t="inlineStr">
        <is>
          <t>3.4.3.4.1.2</t>
        </is>
      </c>
      <c r="L20" s="6" t="inlineStr">
        <is>
          <t>Win incluse?</t>
        </is>
      </c>
    </row>
    <row r="21">
      <c r="A21" s="6" t="n">
        <v>20</v>
      </c>
      <c r="B21" s="6" t="inlineStr">
        <is>
          <t>C. Securitate (appliance SW)</t>
        </is>
      </c>
      <c r="C21" s="6" t="inlineStr">
        <is>
          <t>NMS / NAC</t>
        </is>
      </c>
      <c r="D21" s="7" t="inlineStr">
        <is>
          <t>pg.105-108</t>
        </is>
      </c>
      <c r="E21" s="6" t="inlineStr">
        <is>
          <t>Min 600 dev.</t>
        </is>
      </c>
      <c r="F21" s="6" t="inlineStr">
        <is>
          <t>Cisco DNA / ClearPass</t>
        </is>
      </c>
      <c r="G21" s="6" t="inlineStr">
        <is>
          <t>FortiNAC / Extreme</t>
        </is>
      </c>
      <c r="H21" s="6" t="inlineStr">
        <is>
          <t>1 + 600</t>
        </is>
      </c>
      <c r="I21" s="6" t="inlineStr">
        <is>
          <t>Per device</t>
        </is>
      </c>
      <c r="J21" s="6" t="inlineStr">
        <is>
          <t>Centrul</t>
        </is>
      </c>
      <c r="K21" s="6" t="inlineStr">
        <is>
          <t>3.4.3.4.1.3</t>
        </is>
      </c>
      <c r="L21" s="6" t="inlineStr">
        <is>
          <t>~620 marginal</t>
        </is>
      </c>
    </row>
    <row r="22">
      <c r="A22" s="6" t="n">
        <v>21</v>
      </c>
      <c r="B22" s="6" t="inlineStr">
        <is>
          <t>C. Securitate (appliance SW)</t>
        </is>
      </c>
      <c r="C22" s="6" t="inlineStr">
        <is>
          <t>SIEM</t>
        </is>
      </c>
      <c r="D22" s="7" t="inlineStr">
        <is>
          <t>pg.108-113</t>
        </is>
      </c>
      <c r="E22" s="6" t="inlineStr">
        <is>
          <t>NoSQL log; IOC 3 ani.</t>
        </is>
      </c>
      <c r="F22" s="6" t="inlineStr">
        <is>
          <t>Splunk ES / QRadar</t>
        </is>
      </c>
      <c r="G22" s="6" t="inlineStr">
        <is>
          <t>Wazuh / Sentinel</t>
        </is>
      </c>
      <c r="H22" s="6" t="inlineStr">
        <is>
          <t>1 cluster</t>
        </is>
      </c>
      <c r="I22" s="6" t="inlineStr">
        <is>
          <t>Per GB/zi</t>
        </is>
      </c>
      <c r="J22" s="6" t="inlineStr">
        <is>
          <t>Centrul</t>
        </is>
      </c>
      <c r="K22" s="6" t="inlineStr">
        <is>
          <t>3.4.3.4.1.4</t>
        </is>
      </c>
      <c r="L22" s="6" t="inlineStr">
        <is>
          <t>Volum log determinant</t>
        </is>
      </c>
    </row>
    <row r="23">
      <c r="A23" s="6" t="n">
        <v>22</v>
      </c>
      <c r="B23" s="6" t="inlineStr">
        <is>
          <t>C. Securitate (appliance SW)</t>
        </is>
      </c>
      <c r="C23" s="6" t="inlineStr">
        <is>
          <t>Email Security</t>
        </is>
      </c>
      <c r="D23" s="7" t="inlineStr">
        <is>
          <t>pg.113-118</t>
        </is>
      </c>
      <c r="E23" s="6" t="inlineStr">
        <is>
          <t>Filtrare; sandbox.</t>
        </is>
      </c>
      <c r="F23" s="6" t="inlineStr">
        <is>
          <t>Cisco IronPort</t>
        </is>
      </c>
      <c r="G23" s="6" t="inlineStr">
        <is>
          <t>Proofpoint / FortiMail</t>
        </is>
      </c>
      <c r="H23" s="6" t="inlineStr">
        <is>
          <t>2 buc</t>
        </is>
      </c>
      <c r="I23" s="6" t="inlineStr">
        <is>
          <t>Per mailbox</t>
        </is>
      </c>
      <c r="J23" s="6" t="inlineStr">
        <is>
          <t>Centrul</t>
        </is>
      </c>
      <c r="K23" s="6" t="inlineStr">
        <is>
          <t>3.4.3.4.1.5</t>
        </is>
      </c>
      <c r="L23" s="6" t="inlineStr">
        <is>
          <t>~1000-1500 mailbox</t>
        </is>
      </c>
    </row>
    <row r="24">
      <c r="A24" s="6" t="n">
        <v>23</v>
      </c>
      <c r="B24" s="6" t="inlineStr">
        <is>
          <t>C. Securitate (appliance SW)</t>
        </is>
      </c>
      <c r="C24" s="6" t="inlineStr">
        <is>
          <t>NGFW centru</t>
        </is>
      </c>
      <c r="D24" s="7" t="inlineStr">
        <is>
          <t>pg.118-127</t>
        </is>
      </c>
      <c r="E24" s="6" t="inlineStr">
        <is>
          <t>Redundant; 10 VDOM.</t>
        </is>
      </c>
      <c r="F24" s="6" t="inlineStr">
        <is>
          <t>FortiGate / Palo Alto</t>
        </is>
      </c>
      <c r="G24" s="6" t="inlineStr">
        <is>
          <t>Cisco / Check Point</t>
        </is>
      </c>
      <c r="H24" s="6" t="inlineStr">
        <is>
          <t>2 buc</t>
        </is>
      </c>
      <c r="I24" s="6" t="inlineStr">
        <is>
          <t>Per appliance</t>
        </is>
      </c>
      <c r="J24" s="6" t="inlineStr">
        <is>
          <t>ANSVSA</t>
        </is>
      </c>
      <c r="K24" s="6" t="inlineStr">
        <is>
          <t>3.4.3.4.2.1.1</t>
        </is>
      </c>
      <c r="L24" s="6" t="inlineStr">
        <is>
          <t>Single-vendor obligator</t>
        </is>
      </c>
    </row>
    <row r="25">
      <c r="A25" s="6" t="n">
        <v>24</v>
      </c>
      <c r="B25" s="6" t="inlineStr">
        <is>
          <t>C. Securitate (appliance SW)</t>
        </is>
      </c>
      <c r="C25" s="6" t="inlineStr">
        <is>
          <t>NGFW locatii</t>
        </is>
      </c>
      <c r="D25" s="7" t="inlineStr">
        <is>
          <t>pg.127-131</t>
        </is>
      </c>
      <c r="E25" s="6" t="inlineStr">
        <is>
          <t>Redundant 45 locatii.</t>
        </is>
      </c>
      <c r="F25" s="6" t="inlineStr">
        <is>
          <t>FortiGate 100F</t>
        </is>
      </c>
      <c r="G25" s="6" t="inlineStr">
        <is>
          <t>Palo Alto / CP</t>
        </is>
      </c>
      <c r="H25" s="6" t="inlineStr">
        <is>
          <t>90 buc</t>
        </is>
      </c>
      <c r="I25" s="6" t="inlineStr">
        <is>
          <t>Per appliance</t>
        </is>
      </c>
      <c r="J25" s="6" t="inlineStr">
        <is>
          <t>DSVSA + Institute</t>
        </is>
      </c>
      <c r="K25" s="6" t="inlineStr">
        <is>
          <t>3.4.3.4.2.1.2</t>
        </is>
      </c>
      <c r="L25" s="6" t="inlineStr">
        <is>
          <t>45 × 2 = 90</t>
        </is>
      </c>
    </row>
    <row r="26">
      <c r="A26" s="8" t="n">
        <v>25</v>
      </c>
      <c r="B26" s="8" t="inlineStr">
        <is>
          <t>D. Productivity / Client</t>
        </is>
      </c>
      <c r="C26" s="8" t="inlineStr">
        <is>
          <t>MS Office laptopuri</t>
        </is>
      </c>
      <c r="D26" s="9" t="inlineStr">
        <is>
          <t>pg.144-145</t>
        </is>
      </c>
      <c r="E26" s="8" t="inlineStr">
        <is>
          <t>Office perpetuu.</t>
        </is>
      </c>
      <c r="F26" s="8" t="inlineStr">
        <is>
          <t>MS Office H&amp;B 2024 OEM</t>
        </is>
      </c>
      <c r="G26" s="8" t="inlineStr">
        <is>
          <t>LibreOffice</t>
        </is>
      </c>
      <c r="H26" s="8" t="inlineStr">
        <is>
          <t>100 buc</t>
        </is>
      </c>
      <c r="I26" s="8" t="inlineStr">
        <is>
          <t>Per device</t>
        </is>
      </c>
      <c r="J26" s="8" t="inlineStr">
        <is>
          <t>ANSVSA</t>
        </is>
      </c>
      <c r="K26" s="8" t="inlineStr">
        <is>
          <t>3.4.3.4.2.6</t>
        </is>
      </c>
      <c r="L26" s="8" t="inlineStr">
        <is>
          <t>Recomandam Office original</t>
        </is>
      </c>
    </row>
    <row r="27">
      <c r="A27" s="8" t="n">
        <v>26</v>
      </c>
      <c r="B27" s="8" t="inlineStr">
        <is>
          <t>D. Productivity / Client</t>
        </is>
      </c>
      <c r="C27" s="8" t="inlineStr">
        <is>
          <t>MS Office complete teren</t>
        </is>
      </c>
      <c r="D27" s="9" t="inlineStr">
        <is>
          <t>pg.145-147</t>
        </is>
      </c>
      <c r="E27" s="8" t="inlineStr">
        <is>
          <t>Office perpetuu.</t>
        </is>
      </c>
      <c r="F27" s="8" t="inlineStr">
        <is>
          <t>MS Office H&amp;B 2024 OEM</t>
        </is>
      </c>
      <c r="G27" s="8" t="inlineStr">
        <is>
          <t>LibreOffice</t>
        </is>
      </c>
      <c r="H27" s="8" t="inlineStr">
        <is>
          <t>336 buc</t>
        </is>
      </c>
      <c r="I27" s="8" t="inlineStr">
        <is>
          <t>Per device</t>
        </is>
      </c>
      <c r="J27" s="8" t="inlineStr">
        <is>
          <t>DSVSA</t>
        </is>
      </c>
      <c r="K27" s="8" t="inlineStr">
        <is>
          <t>3.4.3.4.2.7</t>
        </is>
      </c>
      <c r="L27" s="8" t="inlineStr">
        <is>
          <t>Total Office = 436</t>
        </is>
      </c>
    </row>
    <row r="28">
      <c r="A28" s="8" t="n">
        <v>27</v>
      </c>
      <c r="B28" s="8" t="inlineStr">
        <is>
          <t>D. Productivity / Client</t>
        </is>
      </c>
      <c r="C28" s="8" t="inlineStr">
        <is>
          <t>Antivirus</t>
        </is>
      </c>
      <c r="D28" s="9" t="inlineStr">
        <is>
          <t>n/a</t>
        </is>
      </c>
      <c r="E28" s="8" t="inlineStr">
        <is>
          <t>Implicit pt. endpoint.</t>
        </is>
      </c>
      <c r="F28" s="8" t="inlineStr">
        <is>
          <t>CrowdStrike / SentinelOne</t>
        </is>
      </c>
      <c r="G28" s="8" t="inlineStr">
        <is>
          <t>ESET / Bitdefender</t>
        </is>
      </c>
      <c r="H28" s="8" t="inlineStr">
        <is>
          <t>436+50</t>
        </is>
      </c>
      <c r="I28" s="8" t="inlineStr">
        <is>
          <t>Per endpoint</t>
        </is>
      </c>
      <c r="J28" s="8" t="inlineStr">
        <is>
          <t>ANSVSA + DSVSA</t>
        </is>
      </c>
      <c r="K28" s="8" t="inlineStr">
        <is>
          <t>Implicit</t>
        </is>
      </c>
      <c r="L28" s="8" t="inlineStr">
        <is>
          <t>Includem?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5" customWidth="1" min="4" max="4"/>
    <col width="18" customWidth="1" min="5" max="5"/>
    <col width="50" customWidth="1" min="6" max="6"/>
  </cols>
  <sheetData>
    <row r="1" ht="32" customHeight="1">
      <c r="A1" s="1" t="inlineStr">
        <is>
          <t>#</t>
        </is>
      </c>
      <c r="B1" s="1" t="inlineStr">
        <is>
          <t>Componenta</t>
        </is>
      </c>
      <c r="C1" s="1" t="inlineStr">
        <is>
          <t>Cantitate / Limita</t>
        </is>
      </c>
      <c r="D1" s="1" t="inlineStr">
        <is>
          <t>Unitate</t>
        </is>
      </c>
      <c r="E1" s="1" t="inlineStr">
        <is>
          <t>Sursa CdS</t>
        </is>
      </c>
      <c r="F1" s="1" t="inlineStr">
        <is>
          <t>Citat exact</t>
        </is>
      </c>
    </row>
    <row r="2">
      <c r="A2" s="10" t="n">
        <v>1</v>
      </c>
      <c r="B2" s="10" t="inlineStr">
        <is>
          <t>Web server</t>
        </is>
      </c>
      <c r="C2" s="10" t="inlineStr">
        <is>
          <t>16 nuclee/nod</t>
        </is>
      </c>
      <c r="D2" s="10" t="inlineStr">
        <is>
          <t>cores</t>
        </is>
      </c>
      <c r="E2" s="10" t="inlineStr">
        <is>
          <t>3.4.3.2.1</t>
        </is>
      </c>
      <c r="F2" s="10" t="inlineStr">
        <is>
          <t>16 nuclee de procesare per nod</t>
        </is>
      </c>
    </row>
    <row r="3">
      <c r="A3" s="10" t="n">
        <v>2</v>
      </c>
      <c r="B3" s="10" t="inlineStr">
        <is>
          <t>App server</t>
        </is>
      </c>
      <c r="C3" s="10" t="inlineStr">
        <is>
          <t>16 nuclee/nod activ-activ</t>
        </is>
      </c>
      <c r="D3" s="10" t="inlineStr">
        <is>
          <t>cores</t>
        </is>
      </c>
      <c r="E3" s="10" t="inlineStr">
        <is>
          <t>3.4.3.2.2</t>
        </is>
      </c>
      <c r="F3" s="10" t="inlineStr">
        <is>
          <t>16 nuclee per nod</t>
        </is>
      </c>
    </row>
    <row r="4">
      <c r="A4" s="10" t="n">
        <v>3</v>
      </c>
      <c r="B4" s="10" t="inlineStr">
        <is>
          <t>SGBD</t>
        </is>
      </c>
      <c r="C4" s="10" t="inlineStr">
        <is>
          <t>2 noduri × 8 cores</t>
        </is>
      </c>
      <c r="D4" s="10" t="inlineStr">
        <is>
          <t>noduri</t>
        </is>
      </c>
      <c r="E4" s="10" t="inlineStr">
        <is>
          <t>3.4.3.2.4</t>
        </is>
      </c>
      <c r="F4" s="10" t="inlineStr">
        <is>
          <t>2 noduri distincte, minim 8 nuclee</t>
        </is>
      </c>
    </row>
    <row r="5">
      <c r="A5" s="10" t="n">
        <v>4</v>
      </c>
      <c r="B5" s="10" t="inlineStr">
        <is>
          <t>ETL</t>
        </is>
      </c>
      <c r="C5" s="10" t="inlineStr">
        <is>
          <t>16 cores</t>
        </is>
      </c>
      <c r="D5" s="10" t="inlineStr">
        <is>
          <t>cores</t>
        </is>
      </c>
      <c r="E5" s="10" t="inlineStr">
        <is>
          <t>3.4.3.2.5</t>
        </is>
      </c>
      <c r="F5" s="10" t="inlineStr">
        <is>
          <t>minim 16 nuclee de procesare</t>
        </is>
      </c>
    </row>
    <row r="6">
      <c r="A6" s="10" t="n">
        <v>5</v>
      </c>
      <c r="B6" s="10" t="inlineStr">
        <is>
          <t>BI</t>
        </is>
      </c>
      <c r="C6" s="10" t="inlineStr">
        <is>
          <t>50 useri</t>
        </is>
      </c>
      <c r="D6" s="10" t="inlineStr">
        <is>
          <t>named</t>
        </is>
      </c>
      <c r="E6" s="10" t="inlineStr">
        <is>
          <t>3.4.3.2.6</t>
        </is>
      </c>
      <c r="F6" s="10" t="inlineStr">
        <is>
          <t>50 de utilizatori</t>
        </is>
      </c>
    </row>
    <row r="7">
      <c r="A7" s="10" t="n">
        <v>6</v>
      </c>
      <c r="B7" s="10" t="inlineStr">
        <is>
          <t>ESB</t>
        </is>
      </c>
      <c r="C7" s="10" t="inlineStr">
        <is>
          <t>16 cores/nod activ-pasiv</t>
        </is>
      </c>
      <c r="D7" s="10" t="inlineStr">
        <is>
          <t>cores</t>
        </is>
      </c>
      <c r="E7" s="10" t="inlineStr">
        <is>
          <t>3.4.3.2.9</t>
        </is>
      </c>
      <c r="F7" s="10" t="inlineStr">
        <is>
          <t>cluster activ-pasiv 16 nuclee</t>
        </is>
      </c>
    </row>
    <row r="8">
      <c r="A8" s="10" t="n">
        <v>7</v>
      </c>
      <c r="B8" s="10" t="inlineStr">
        <is>
          <t>LIMS</t>
        </is>
      </c>
      <c r="C8" s="10" t="inlineStr">
        <is>
          <t>Nelimitat + perpetuu + 3 ani L2+L3</t>
        </is>
      </c>
      <c r="D8" s="10" t="inlineStr">
        <is>
          <t>useri</t>
        </is>
      </c>
      <c r="E8" s="10" t="inlineStr">
        <is>
          <t>3.4.3.3.3</t>
        </is>
      </c>
      <c r="F8" s="10" t="inlineStr">
        <is>
          <t>numar nelimitat de utilizatori</t>
        </is>
      </c>
    </row>
    <row r="9">
      <c r="A9" s="10" t="n">
        <v>8</v>
      </c>
      <c r="B9" s="10" t="inlineStr">
        <is>
          <t>SW aplicative</t>
        </is>
      </c>
      <c r="C9" s="10" t="inlineStr">
        <is>
          <t>Perpetuu + cod sursa</t>
        </is>
      </c>
      <c r="D9" s="10" t="inlineStr">
        <is>
          <t>-</t>
        </is>
      </c>
      <c r="E9" s="10" t="inlineStr">
        <is>
          <t>3.4.3.3.4</t>
        </is>
      </c>
      <c r="F9" s="10" t="inlineStr">
        <is>
          <t>licente perpetue + cod sursa integral</t>
        </is>
      </c>
    </row>
    <row r="10">
      <c r="A10" s="10" t="n">
        <v>9</v>
      </c>
      <c r="B10" s="10" t="inlineStr">
        <is>
          <t>WAF</t>
        </is>
      </c>
      <c r="C10" s="10" t="inlineStr">
        <is>
          <t>NU per useri</t>
        </is>
      </c>
      <c r="D10" s="10" t="inlineStr">
        <is>
          <t>-</t>
        </is>
      </c>
      <c r="E10" s="10" t="inlineStr">
        <is>
          <t>3.4.3.4.1.1</t>
        </is>
      </c>
      <c r="F10" s="10" t="inlineStr">
        <is>
          <t>nu trebuie licentiat per useri</t>
        </is>
      </c>
    </row>
    <row r="11">
      <c r="A11" s="10" t="n">
        <v>10</v>
      </c>
      <c r="B11" s="10" t="inlineStr">
        <is>
          <t>Honeypot</t>
        </is>
      </c>
      <c r="C11" s="10" t="inlineStr">
        <is>
          <t>4 Win × 4 vCPU</t>
        </is>
      </c>
      <c r="D11" s="10" t="inlineStr">
        <is>
          <t>instante</t>
        </is>
      </c>
      <c r="E11" s="10" t="inlineStr">
        <is>
          <t>3.4.3.4.1.2</t>
        </is>
      </c>
      <c r="F11" s="10" t="inlineStr">
        <is>
          <t>4 instante capcana Windows</t>
        </is>
      </c>
    </row>
    <row r="12">
      <c r="A12" s="10" t="n">
        <v>11</v>
      </c>
      <c r="B12" s="10" t="inlineStr">
        <is>
          <t>NMS</t>
        </is>
      </c>
      <c r="C12" s="10" t="inlineStr">
        <is>
          <t>Min 600</t>
        </is>
      </c>
      <c r="D12" s="10" t="inlineStr">
        <is>
          <t>devices</t>
        </is>
      </c>
      <c r="E12" s="10" t="inlineStr">
        <is>
          <t>3.4.3.4.1.3</t>
        </is>
      </c>
      <c r="F12" s="10" t="inlineStr">
        <is>
          <t>minimum 600 echipamente</t>
        </is>
      </c>
    </row>
    <row r="13">
      <c r="A13" s="10" t="n">
        <v>12</v>
      </c>
      <c r="B13" s="10" t="inlineStr">
        <is>
          <t>NGFW centru</t>
        </is>
      </c>
      <c r="C13" s="10" t="inlineStr">
        <is>
          <t>Min 10 VDOM</t>
        </is>
      </c>
      <c r="D13" s="10" t="inlineStr">
        <is>
          <t>VDOM</t>
        </is>
      </c>
      <c r="E13" s="10" t="inlineStr">
        <is>
          <t>3.4.3.4.2.1.1</t>
        </is>
      </c>
      <c r="F13" s="10" t="inlineStr">
        <is>
          <t>10 instante virtuale</t>
        </is>
      </c>
    </row>
    <row r="14">
      <c r="A14" s="10" t="n">
        <v>13</v>
      </c>
      <c r="B14" s="10" t="inlineStr">
        <is>
          <t>NGFW locatii</t>
        </is>
      </c>
      <c r="C14" s="10" t="inlineStr">
        <is>
          <t>Min 10 VDOM/echip</t>
        </is>
      </c>
      <c r="D14" s="10" t="inlineStr">
        <is>
          <t>VDOM</t>
        </is>
      </c>
      <c r="E14" s="10" t="inlineStr">
        <is>
          <t>3.4.3.4.2.1.2</t>
        </is>
      </c>
      <c r="F14" s="10" t="inlineStr">
        <is>
          <t>Licenta pentru 10 instante</t>
        </is>
      </c>
    </row>
    <row r="15">
      <c r="A15" s="10" t="n">
        <v>14</v>
      </c>
      <c r="B15" s="10" t="inlineStr">
        <is>
          <t>Laptop</t>
        </is>
      </c>
      <c r="C15" s="10" t="inlineStr">
        <is>
          <t>100 buc</t>
        </is>
      </c>
      <c r="D15" s="10" t="inlineStr">
        <is>
          <t>device</t>
        </is>
      </c>
      <c r="E15" s="10" t="inlineStr">
        <is>
          <t>3.4.3.4.2.6</t>
        </is>
      </c>
      <c r="F15" s="10" t="inlineStr">
        <is>
          <t>100 de laptopuri</t>
        </is>
      </c>
    </row>
    <row r="16">
      <c r="A16" s="10" t="n">
        <v>15</v>
      </c>
      <c r="B16" s="10" t="inlineStr">
        <is>
          <t>Complete teren</t>
        </is>
      </c>
      <c r="C16" s="10" t="inlineStr">
        <is>
          <t>336 (8×42)</t>
        </is>
      </c>
      <c r="D16" s="10" t="inlineStr">
        <is>
          <t>device</t>
        </is>
      </c>
      <c r="E16" s="10" t="inlineStr">
        <is>
          <t>3.4.3.4.2.7</t>
        </is>
      </c>
      <c r="F16" s="10" t="inlineStr">
        <is>
          <t>8 in fiecare DSVSA</t>
        </is>
      </c>
    </row>
    <row r="17">
      <c r="A17" s="10" t="n">
        <v>16</v>
      </c>
      <c r="B17" s="10" t="inlineStr">
        <is>
          <t>Institutii</t>
        </is>
      </c>
      <c r="C17" s="10" t="inlineStr">
        <is>
          <t>46</t>
        </is>
      </c>
      <c r="D17" s="10" t="inlineStr">
        <is>
          <t>-</t>
        </is>
      </c>
      <c r="E17" s="10" t="inlineStr">
        <is>
          <t>3.5</t>
        </is>
      </c>
      <c r="F17" s="10" t="inlineStr">
        <is>
          <t>46 institutii publice</t>
        </is>
      </c>
    </row>
    <row r="18">
      <c r="A18" s="10" t="n">
        <v>17</v>
      </c>
      <c r="B18" s="10" t="inlineStr">
        <is>
          <t>Useri portal</t>
        </is>
      </c>
      <c r="C18" s="10" t="inlineStr">
        <is>
          <t>185.000/an</t>
        </is>
      </c>
      <c r="D18" s="10" t="inlineStr">
        <is>
          <t>useri</t>
        </is>
      </c>
      <c r="E18" s="10" t="inlineStr">
        <is>
          <t>3.5</t>
        </is>
      </c>
      <c r="F18" s="10" t="inlineStr">
        <is>
          <t>185.000 utilizatori</t>
        </is>
      </c>
    </row>
    <row r="19">
      <c r="A19" s="10" t="n">
        <v>18</v>
      </c>
      <c r="B19" s="10" t="inlineStr">
        <is>
          <t>Servicii electronice</t>
        </is>
      </c>
      <c r="C19" s="10" t="inlineStr">
        <is>
          <t>56</t>
        </is>
      </c>
      <c r="D19" s="10" t="inlineStr">
        <is>
          <t>-</t>
        </is>
      </c>
      <c r="E19" s="10" t="inlineStr">
        <is>
          <t>3.5</t>
        </is>
      </c>
      <c r="F19" s="10" t="inlineStr">
        <is>
          <t>56 de servicii electronice</t>
        </is>
      </c>
    </row>
    <row r="20">
      <c r="A20" s="10" t="n">
        <v>19</v>
      </c>
      <c r="B20" s="10" t="inlineStr">
        <is>
          <t>Useri instruiti</t>
        </is>
      </c>
      <c r="C20" s="10" t="inlineStr">
        <is>
          <t>144 + 3 admin</t>
        </is>
      </c>
      <c r="D20" s="10" t="inlineStr">
        <is>
          <t>useri</t>
        </is>
      </c>
      <c r="E20" s="10" t="inlineStr">
        <is>
          <t>3.5</t>
        </is>
      </c>
      <c r="F20" s="10" t="inlineStr">
        <is>
          <t>144 utilizatori, 3 administratori</t>
        </is>
      </c>
    </row>
    <row r="21">
      <c r="A21" s="10" t="n">
        <v>20</v>
      </c>
      <c r="B21" s="10" t="inlineStr">
        <is>
          <t>BYOL Azure</t>
        </is>
      </c>
      <c r="C21" s="10" t="inlineStr">
        <is>
          <t>Toate COTS BYOL</t>
        </is>
      </c>
      <c r="D21" s="10" t="inlineStr">
        <is>
          <t>-</t>
        </is>
      </c>
      <c r="E21" s="10" t="inlineStr">
        <is>
          <t>3.4.3.1</t>
        </is>
      </c>
      <c r="F21" s="10" t="inlineStr">
        <is>
          <t>BYOL prin contract</t>
        </is>
      </c>
    </row>
    <row r="22">
      <c r="A22" s="10" t="n">
        <v>21</v>
      </c>
      <c r="B22" s="10" t="inlineStr">
        <is>
          <t>VALOARE PROIECT</t>
        </is>
      </c>
      <c r="C22" s="10" t="inlineStr">
        <is>
          <t>95.271.200,60 RON</t>
        </is>
      </c>
      <c r="D22" s="10" t="inlineStr">
        <is>
          <t>RON</t>
        </is>
      </c>
      <c r="E22" s="10" t="inlineStr">
        <is>
          <t>Anexa fin.</t>
        </is>
      </c>
      <c r="F22" s="10" t="inlineStr">
        <is>
          <t>Val. totala eligibila</t>
        </is>
      </c>
    </row>
    <row r="23">
      <c r="A23" s="10" t="n">
        <v>22</v>
      </c>
      <c r="B23" s="10" t="inlineStr">
        <is>
          <t>ECHIPAMENTE</t>
        </is>
      </c>
      <c r="C23" s="10" t="inlineStr">
        <is>
          <t>Max 20%</t>
        </is>
      </c>
      <c r="D23" s="10" t="inlineStr">
        <is>
          <t>RON</t>
        </is>
      </c>
      <c r="E23" s="10" t="inlineStr">
        <is>
          <t>Anexa fin.</t>
        </is>
      </c>
      <c r="F23" s="10" t="inlineStr">
        <is>
          <t>maxim 20%</t>
        </is>
      </c>
    </row>
    <row r="24">
      <c r="A24" s="10" t="n">
        <v>23</v>
      </c>
      <c r="B24" s="10" t="inlineStr">
        <is>
          <t>SECURITATE</t>
        </is>
      </c>
      <c r="C24" s="10" t="inlineStr">
        <is>
          <t>Min 10%</t>
        </is>
      </c>
      <c r="D24" s="10" t="inlineStr">
        <is>
          <t>RON</t>
        </is>
      </c>
      <c r="E24" s="10" t="inlineStr">
        <is>
          <t>Anexa fin.</t>
        </is>
      </c>
      <c r="F24" s="10" t="inlineStr">
        <is>
          <t>minim 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58" customWidth="1" min="4" max="4"/>
    <col width="58" customWidth="1" min="5" max="5"/>
  </cols>
  <sheetData>
    <row r="1">
      <c r="A1" s="11" t="inlineStr">
        <is>
          <t>Estimare efort - Aplicatie mobila cetateni (3.4.3.3.2.2, pg.87-88 CdS)</t>
        </is>
      </c>
    </row>
    <row r="2" ht="55" customHeight="1">
      <c r="A2" s="12" t="inlineStr">
        <is>
          <t>Scope: Nativ iOS+Android+PWA; raportare animale salbatice; GPS+GIS central; camera; offline; ROeID+IAM Keycloak; consum ESB async; telemetrie ETL/DW; A11y WCAG 2.1 AA; OWASP MASVS L1; 3 ani garantie.</t>
        </is>
      </c>
    </row>
    <row r="4" ht="28" customHeight="1">
      <c r="A4" s="1" t="inlineStr">
        <is>
          <t>Faza</t>
        </is>
      </c>
      <c r="B4" s="1" t="inlineStr">
        <is>
          <t>Estimat man-day</t>
        </is>
      </c>
      <c r="C4" s="1" t="inlineStr">
        <is>
          <t>Risk %</t>
        </is>
      </c>
      <c r="D4" s="1" t="inlineStr">
        <is>
          <t>Descriere risc</t>
        </is>
      </c>
      <c r="E4" s="1" t="inlineStr">
        <is>
          <t>Note / Livrabile</t>
        </is>
      </c>
    </row>
    <row r="5">
      <c r="A5" s="10" t="inlineStr">
        <is>
          <t>1. Analiza cerinte + workshop-uri stakeholderi</t>
        </is>
      </c>
      <c r="B5" s="13" t="n">
        <v>22</v>
      </c>
      <c r="C5" s="14" t="n">
        <v>0.15</v>
      </c>
      <c r="D5" s="10" t="inlineStr">
        <is>
          <t>ANSVSA+DSVSA+medici vet; 5-7 workshops</t>
        </is>
      </c>
      <c r="E5" s="10" t="inlineStr">
        <is>
          <t>User stories; persona; backlog</t>
        </is>
      </c>
    </row>
    <row r="6">
      <c r="A6" s="10" t="inlineStr">
        <is>
          <t>2. UX research + wireframes Lo-Fi</t>
        </is>
      </c>
      <c r="B6" s="13" t="n">
        <v>28</v>
      </c>
      <c r="C6" s="14" t="n">
        <v>0.2</v>
      </c>
      <c r="D6" s="10" t="inlineStr">
        <is>
          <t>Material 3 + iOS HIG + WCAG AA; 3-4 iteratii</t>
        </is>
      </c>
      <c r="E6" s="10" t="inlineStr">
        <is>
          <t>Wireframes; testing 5-8 useri</t>
        </is>
      </c>
    </row>
    <row r="7">
      <c r="A7" s="10" t="inlineStr">
        <is>
          <t>3. UI design Hi-Fi + design system</t>
        </is>
      </c>
      <c r="B7" s="13" t="n">
        <v>32</v>
      </c>
      <c r="C7" s="14" t="n">
        <v>0.15</v>
      </c>
      <c r="D7" s="10" t="inlineStr">
        <is>
          <t>Atomic; veterinary icons; 30+ ecrane</t>
        </is>
      </c>
      <c r="E7" s="10" t="inlineStr">
        <is>
          <t>Figma; assets; prototype</t>
        </is>
      </c>
    </row>
    <row r="8">
      <c r="A8" s="10" t="inlineStr">
        <is>
          <t>4. Arhitectura + ADR + setup proiect</t>
        </is>
      </c>
      <c r="B8" s="13" t="n">
        <v>22</v>
      </c>
      <c r="C8" s="14" t="n">
        <v>0.1</v>
      </c>
      <c r="D8" s="10" t="inlineStr">
        <is>
          <t>Nativ obligatoriu; 3 platforme CI/CD</t>
        </is>
      </c>
      <c r="E8" s="10" t="inlineStr">
        <is>
          <t>ADR; repo; pipeline; dev accounts</t>
        </is>
      </c>
    </row>
    <row r="9">
      <c r="A9" s="10" t="inlineStr">
        <is>
          <t>5. Dezvoltare iOS nativ (Swift+SwiftUI)</t>
        </is>
      </c>
      <c r="B9" s="13" t="n">
        <v>75</v>
      </c>
      <c r="C9" s="14" t="n">
        <v>0.25</v>
      </c>
      <c r="D9" s="10" t="inlineStr">
        <is>
          <t>30+ ecrane; nav, state, persistence</t>
        </is>
      </c>
      <c r="E9" s="10" t="inlineStr">
        <is>
          <t>IPA; TestFlight; cov 70%</t>
        </is>
      </c>
    </row>
    <row r="10">
      <c r="A10" s="10" t="inlineStr">
        <is>
          <t>6. Dezvoltare Android (Kotlin+Compose)</t>
        </is>
      </c>
      <c r="B10" s="13" t="n">
        <v>75</v>
      </c>
      <c r="C10" s="14" t="n">
        <v>0.25</v>
      </c>
      <c r="D10" s="10" t="inlineStr">
        <is>
          <t>30+ ecrane; Material 3; fragmentare</t>
        </is>
      </c>
      <c r="E10" s="10" t="inlineStr">
        <is>
          <t>APK/AAB; Internal Track; cov 70%</t>
        </is>
      </c>
    </row>
    <row r="11">
      <c r="A11" s="10" t="inlineStr">
        <is>
          <t>7. PWA companion</t>
        </is>
      </c>
      <c r="B11" s="13" t="n">
        <v>35</v>
      </c>
      <c r="C11" s="14" t="n">
        <v>0.15</v>
      </c>
      <c r="D11" s="10" t="inlineStr">
        <is>
          <t>Service workers; offline cache; push web</t>
        </is>
      </c>
      <c r="E11" s="10" t="inlineStr">
        <is>
          <t>PWA installabila</t>
        </is>
      </c>
    </row>
    <row r="12">
      <c r="A12" s="10" t="inlineStr">
        <is>
          <t>8. GPS + harta de baza + offline tiles</t>
        </is>
      </c>
      <c r="B12" s="13" t="n">
        <v>14</v>
      </c>
      <c r="C12" s="14" t="n">
        <v>0.25</v>
      </c>
      <c r="D12" s="10" t="inlineStr">
        <is>
          <t>MapKit/Google/Leaflet baza; tiles RO</t>
        </is>
      </c>
      <c r="E12" s="10" t="inlineStr">
        <is>
          <t>Modul harta; cache</t>
        </is>
      </c>
    </row>
    <row r="13">
      <c r="A13" s="10" t="inlineStr">
        <is>
          <t>8b. Integrare cu Sistemul GIS central (WMS/WFS)</t>
        </is>
      </c>
      <c r="B13" s="13" t="n">
        <v>15</v>
      </c>
      <c r="C13" s="14" t="n">
        <v>0.3</v>
      </c>
      <c r="D13" s="10" t="inlineStr">
        <is>
          <t>Consum WMS+WFS server GIS central; Stereo70 vs WGS84; auth GIS; layere veterinary (focare, restrictii)</t>
        </is>
      </c>
      <c r="E13" s="10" t="inlineStr">
        <is>
          <t>WMS/WFS client nativ; proj conv; layer mgr</t>
        </is>
      </c>
    </row>
    <row r="14">
      <c r="A14" s="10" t="inlineStr">
        <is>
          <t>9. Camera + foto + EXIF</t>
        </is>
      </c>
      <c r="B14" s="13" t="n">
        <v>14</v>
      </c>
      <c r="C14" s="14" t="n">
        <v>0.15</v>
      </c>
      <c r="D14" s="10" t="inlineStr">
        <is>
          <t>Captura, watermark timestamp+geo, upload chunked</t>
        </is>
      </c>
      <c r="E14" s="10" t="inlineStr">
        <is>
          <t>Modul foto; &lt;200KB upload</t>
        </is>
      </c>
    </row>
    <row r="15">
      <c r="A15" s="10" t="inlineStr">
        <is>
          <t>10. Push notifications (APNs+FCM+web)</t>
        </is>
      </c>
      <c r="B15" s="13" t="n">
        <v>12</v>
      </c>
      <c r="C15" s="14" t="n">
        <v>0.15</v>
      </c>
      <c r="D15" s="10" t="inlineStr">
        <is>
          <t>Server scheduling, deep linking</t>
        </is>
      </c>
      <c r="E15" s="10" t="inlineStr">
        <is>
          <t>OneSignal/Firebase; topics</t>
        </is>
      </c>
    </row>
    <row r="16">
      <c r="A16" s="10" t="inlineStr">
        <is>
          <t>11. Autentificare ROeID (UI flow mobile)</t>
        </is>
      </c>
      <c r="B16" s="13" t="n">
        <v>22</v>
      </c>
      <c r="C16" s="14" t="n">
        <v>0.35</v>
      </c>
      <c r="D16" s="10" t="inlineStr">
        <is>
          <t>ROeID docs limitate mobile; biometric + Keychain/Keystore</t>
        </is>
      </c>
      <c r="E16" s="10" t="inlineStr">
        <is>
          <t>ROeID flow nativ; fallback parola</t>
        </is>
      </c>
    </row>
    <row r="17">
      <c r="A17" s="10" t="inlineStr">
        <is>
          <t>11b. Integrare IAM Keycloak (OAuth2 PKCE + token mgmt)</t>
        </is>
      </c>
      <c r="B17" s="13" t="n">
        <v>10</v>
      </c>
      <c r="C17" s="14" t="n">
        <v>0.2</v>
      </c>
      <c r="D17" s="10" t="inlineStr">
        <is>
          <t>OAuth2 PKCE nativ via Keycloak; refresh token rotation; biometric unlock pt. token; JWT validation locala (JWKS cache); silent renewal</t>
        </is>
      </c>
      <c r="E17" s="10" t="inlineStr">
        <is>
          <t>AppAuth SDK iOS+Android; PKCE; token storage criptat</t>
        </is>
      </c>
    </row>
    <row r="18">
      <c r="A18" s="10" t="inlineStr">
        <is>
          <t>12. API backend sincron (BND-SNIIA + Portal + LIMS REST)</t>
        </is>
      </c>
      <c r="B18" s="13" t="n">
        <v>32</v>
      </c>
      <c r="C18" s="14" t="n">
        <v>0.25</v>
      </c>
      <c r="D18" s="10" t="inlineStr">
        <is>
          <t>API client SDK; retry; paginare</t>
        </is>
      </c>
      <c r="E18" s="10" t="inlineStr">
        <is>
          <t>SDK; error mapping; offline queue</t>
        </is>
      </c>
    </row>
    <row r="19">
      <c r="A19" s="10" t="inlineStr">
        <is>
          <t>12b. Consum ESB / mesaje async</t>
        </is>
      </c>
      <c r="B19" s="13" t="n">
        <v>18</v>
      </c>
      <c r="C19" s="14" t="n">
        <v>0.25</v>
      </c>
      <c r="D19" s="10" t="inlineStr">
        <is>
          <t>Abonare topic-uri ESB (rezultat analiza, status raportare, alerte); REST polling / WebSocket bridge; fallback push</t>
        </is>
      </c>
      <c r="E19" s="10" t="inlineStr">
        <is>
          <t>ESB consumer adapter; WebSocket bridge</t>
        </is>
      </c>
    </row>
    <row r="20">
      <c r="A20" s="10" t="inlineStr">
        <is>
          <t>12c. Telemetrie utilizare -&gt; ETL/DW</t>
        </is>
      </c>
      <c r="B20" s="13" t="n">
        <v>5</v>
      </c>
      <c r="C20" s="14" t="n">
        <v>0.1</v>
      </c>
      <c r="D20" s="10" t="inlineStr">
        <is>
          <t>Evenimente utilizare (raportare creata, login) publicate spre ETL pt. DW; producer events; nu necesita ETL direct</t>
        </is>
      </c>
      <c r="E20" s="10" t="inlineStr">
        <is>
          <t>Event publisher SDK; schema; batch upload</t>
        </is>
      </c>
    </row>
    <row r="21">
      <c r="A21" s="10" t="inlineStr">
        <is>
          <t>13. Offline-first + sync queue</t>
        </is>
      </c>
      <c r="B21" s="13" t="n">
        <v>22</v>
      </c>
      <c r="C21" s="14" t="n">
        <v>0.25</v>
      </c>
      <c r="D21" s="10" t="inlineStr">
        <is>
          <t>Conectivitate intermitenta rural; raportari offline sync</t>
        </is>
      </c>
      <c r="E21" s="10" t="inlineStr">
        <is>
          <t>Queue locala; background sync</t>
        </is>
      </c>
    </row>
    <row r="22">
      <c r="A22" s="10" t="inlineStr">
        <is>
          <t>14. Localizare RO + i18n</t>
        </is>
      </c>
      <c r="B22" s="13" t="n">
        <v>8</v>
      </c>
      <c r="C22" s="14" t="n">
        <v>0.05</v>
      </c>
      <c r="D22" s="10" t="inlineStr">
        <is>
          <t>RO+EN; format date/numere</t>
        </is>
      </c>
      <c r="E22" s="10" t="inlineStr">
        <is>
          <t>i18n strings</t>
        </is>
      </c>
    </row>
    <row r="23">
      <c r="A23" s="10" t="inlineStr">
        <is>
          <t>15. A11y WCAG 2.1 AA</t>
        </is>
      </c>
      <c r="B23" s="13" t="n">
        <v>22</v>
      </c>
      <c r="C23" s="14" t="n">
        <v>0.2</v>
      </c>
      <c r="D23" s="10" t="inlineStr">
        <is>
          <t>VoiceOver+TalkBack+NVDA; contrast 4.5:1</t>
        </is>
      </c>
      <c r="E23" s="10" t="inlineStr">
        <is>
          <t>A11y compliant; audit</t>
        </is>
      </c>
    </row>
    <row r="24">
      <c r="A24" s="10" t="inlineStr">
        <is>
          <t>16. Securitate OWASP MASVS L1</t>
        </is>
      </c>
      <c r="B24" s="13" t="n">
        <v>22</v>
      </c>
      <c r="C24" s="14" t="n">
        <v>0.25</v>
      </c>
      <c r="D24" s="10" t="inlineStr">
        <is>
          <t>Cert pinning, jailbreak, secure storage, ofuscare</t>
        </is>
      </c>
      <c r="E24" s="10" t="inlineStr">
        <is>
          <t>Security controls; audit intern</t>
        </is>
      </c>
    </row>
    <row r="25">
      <c r="A25" s="10" t="inlineStr">
        <is>
          <t>17. Testare unit + integration</t>
        </is>
      </c>
      <c r="B25" s="13" t="n">
        <v>30</v>
      </c>
      <c r="C25" s="14" t="n">
        <v>0.1</v>
      </c>
      <c r="D25" s="10" t="inlineStr">
        <is>
          <t>JUnit/XCTest; cov &gt; 70%</t>
        </is>
      </c>
      <c r="E25" s="10" t="inlineStr">
        <is>
          <t>Coverage; CI gate</t>
        </is>
      </c>
    </row>
    <row r="26">
      <c r="A26" s="10" t="inlineStr">
        <is>
          <t>18. Testare E2E</t>
        </is>
      </c>
      <c r="B26" s="13" t="n">
        <v>25</v>
      </c>
      <c r="C26" s="14" t="n">
        <v>0.15</v>
      </c>
      <c r="D26" s="10" t="inlineStr">
        <is>
          <t>Maestro/Appium/Detox; critical journeys</t>
        </is>
      </c>
      <c r="E26" s="10" t="inlineStr">
        <is>
          <t>E2E suite; CI</t>
        </is>
      </c>
    </row>
    <row r="27">
      <c r="A27" s="10" t="inlineStr">
        <is>
          <t>19. Manual QA pe device fizic (8-10)</t>
        </is>
      </c>
      <c r="B27" s="13" t="n">
        <v>28</v>
      </c>
      <c r="C27" s="14" t="n">
        <v>0.15</v>
      </c>
      <c r="D27" s="10" t="inlineStr">
        <is>
          <t>4 iOS + 6 Android + tablet</t>
        </is>
      </c>
      <c r="E27" s="10" t="inlineStr">
        <is>
          <t>Device matrix; defect log</t>
        </is>
      </c>
    </row>
    <row r="28">
      <c r="A28" s="10" t="inlineStr">
        <is>
          <t>20. Pentest mobil extern + remediere</t>
        </is>
      </c>
      <c r="B28" s="13" t="n">
        <v>15</v>
      </c>
      <c r="C28" s="14" t="n">
        <v>0.25</v>
      </c>
      <c r="D28" s="10" t="inlineStr">
        <is>
          <t>MASVS L1 audit; 2 cicluri</t>
        </is>
      </c>
      <c r="E28" s="10" t="inlineStr">
        <is>
          <t>Pentest; remediere; re-test</t>
        </is>
      </c>
    </row>
    <row r="29">
      <c r="A29" s="10" t="inlineStr">
        <is>
          <t>21. Publicare stores (Apple+Google+Magazin RO)</t>
        </is>
      </c>
      <c r="B29" s="13" t="n">
        <v>18</v>
      </c>
      <c r="C29" s="14" t="n">
        <v>0.4</v>
      </c>
      <c r="D29" s="10" t="inlineStr">
        <is>
          <t>Apple review strict apps gov; 3-5 cicluri</t>
        </is>
      </c>
      <c r="E29" s="10" t="inlineStr">
        <is>
          <t>Listing; screenshots; privacy</t>
        </is>
      </c>
    </row>
    <row r="30">
      <c r="A30" s="10" t="inlineStr">
        <is>
          <t>22. Doc tehnica + user guide RO+EN</t>
        </is>
      </c>
      <c r="B30" s="13" t="n">
        <v>15</v>
      </c>
      <c r="C30" s="14" t="n">
        <v>0.05</v>
      </c>
      <c r="D30" s="10" t="inlineStr">
        <is>
          <t>Manual + admin guide push + release notes</t>
        </is>
      </c>
      <c r="E30" s="10" t="inlineStr">
        <is>
          <t>PDF; in-app help; video</t>
        </is>
      </c>
    </row>
    <row r="31">
      <c r="A31" s="10" t="inlineStr">
        <is>
          <t>23. Materiale instruire</t>
        </is>
      </c>
      <c r="B31" s="13" t="n">
        <v>10</v>
      </c>
      <c r="C31" s="14" t="n">
        <v>0.05</v>
      </c>
      <c r="D31" s="10" t="inlineStr">
        <is>
          <t>Curs DSVSA + medici vet care vor instrui cetatenii</t>
        </is>
      </c>
      <c r="E31" s="10" t="inlineStr">
        <is>
          <t>Slide deck; ghid trainer</t>
        </is>
      </c>
    </row>
    <row r="32">
      <c r="A32" s="10" t="inlineStr">
        <is>
          <t>24. UAT</t>
        </is>
      </c>
      <c r="B32" s="13" t="n">
        <v>28</v>
      </c>
      <c r="C32" s="14" t="n">
        <v>0.2</v>
      </c>
      <c r="D32" s="10" t="inlineStr">
        <is>
          <t>Multi-stakeholder 2-3 sapt</t>
        </is>
      </c>
      <c r="E32" s="10" t="inlineStr">
        <is>
          <t>UAT plan; defect log; sign-off</t>
        </is>
      </c>
    </row>
    <row r="33">
      <c r="A33" s="10" t="inlineStr">
        <is>
          <t>25. Go-live + hyper-care 2 sapt</t>
        </is>
      </c>
      <c r="B33" s="13" t="n">
        <v>18</v>
      </c>
      <c r="C33" s="14" t="n">
        <v>0.15</v>
      </c>
      <c r="D33" s="10" t="inlineStr">
        <is>
          <t>Deploy; push; monitoring; on-call</t>
        </is>
      </c>
      <c r="E33" s="10" t="inlineStr">
        <is>
          <t>Production release</t>
        </is>
      </c>
    </row>
    <row r="34">
      <c r="A34" s="15" t="inlineStr">
        <is>
          <t>SUBTOTAL implementare initiala</t>
        </is>
      </c>
      <c r="B34" s="16">
        <f>SUM(B5:B33)</f>
        <v/>
      </c>
      <c r="C34" s="17">
        <f>SUMPRODUCT(B5:B33,C5:C33)/SUM(B5:B33)</f>
        <v/>
      </c>
      <c r="D34" s="15" t="inlineStr">
        <is>
          <t>Risc mediu ponderat</t>
        </is>
      </c>
      <c r="E34" s="15" t="n"/>
    </row>
    <row r="35">
      <c r="A35" s="18" t="inlineStr">
        <is>
          <t>Buffer contingency (20%)</t>
        </is>
      </c>
      <c r="B35" s="19">
        <f>ROUND(B34*0.20,0)</f>
        <v/>
      </c>
      <c r="C35" s="18" t="n"/>
      <c r="D35" s="18" t="n"/>
      <c r="E35" s="18" t="inlineStr">
        <is>
          <t>Standard proiecte gov IT</t>
        </is>
      </c>
    </row>
    <row r="36">
      <c r="A36" s="20" t="inlineStr">
        <is>
          <t>TOTAL IMPLEMENTARE + BUFFER</t>
        </is>
      </c>
      <c r="B36" s="20">
        <f>B34+B35</f>
        <v/>
      </c>
      <c r="C36" s="20" t="n"/>
      <c r="D36" s="20" t="n"/>
      <c r="E36" s="20" t="n"/>
    </row>
    <row r="38">
      <c r="A38" s="21" t="inlineStr">
        <is>
          <t>MENTENANTA + SUPORT (3 ani conform CdS)</t>
        </is>
      </c>
      <c r="B38" s="22" t="n"/>
      <c r="C38" s="22" t="n"/>
      <c r="D38" s="22" t="n"/>
      <c r="E38" s="23" t="n"/>
    </row>
    <row r="39">
      <c r="A39" s="1" t="inlineStr">
        <is>
          <t>Faza</t>
        </is>
      </c>
      <c r="B39" s="1" t="inlineStr">
        <is>
          <t>Estimat man-day</t>
        </is>
      </c>
      <c r="C39" s="1" t="inlineStr">
        <is>
          <t>Risk %</t>
        </is>
      </c>
      <c r="D39" s="1" t="inlineStr">
        <is>
          <t>Descriere risc</t>
        </is>
      </c>
      <c r="E39" s="1" t="inlineStr">
        <is>
          <t>Note / Livrabile</t>
        </is>
      </c>
    </row>
    <row r="40">
      <c r="A40" s="10" t="inlineStr">
        <is>
          <t>Mentenanta + suport L2+L3 (per AN; 3 ani CdS)</t>
        </is>
      </c>
      <c r="B40" s="13" t="n">
        <v>250</v>
      </c>
      <c r="C40" s="14" t="n">
        <v>0.25</v>
      </c>
      <c r="D40" s="10" t="inlineStr">
        <is>
          <t>iOS+Android lanseaza versiuni majore anual; deprecari SDK; politici stores; CVE-uri MASVS; bug fixes; SLA L2 4h + L3 escaladare arhitect</t>
        </is>
      </c>
      <c r="E40" s="10" t="inlineStr">
        <is>
          <t>BREAKDOWN/AN: ~80z corrective + ~70z adaptive (OS noi, SDK refresh) + ~50z perfective + ~50z on-call. ~1.2 FTE.</t>
        </is>
      </c>
    </row>
    <row r="41">
      <c r="A41" s="24" t="inlineStr">
        <is>
          <t>TOTAL MENTENANTA 3 ani (cumulativ)</t>
        </is>
      </c>
      <c r="B41" s="24">
        <f>B40*3</f>
        <v/>
      </c>
      <c r="C41" s="24" t="n"/>
      <c r="D41" s="24" t="n"/>
      <c r="E41" s="24" t="inlineStr">
        <is>
          <t>Conform CdS - garantie L2+L3 pe 3 ani</t>
        </is>
      </c>
    </row>
  </sheetData>
  <mergeCells count="3">
    <mergeCell ref="A2:E2"/>
    <mergeCell ref="A1:E1"/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58" customWidth="1" min="4" max="4"/>
    <col width="58" customWidth="1" min="5" max="5"/>
  </cols>
  <sheetData>
    <row r="1">
      <c r="A1" s="11" t="inlineStr">
        <is>
          <t>Estimare efort - HL7 gateway LIMS (3.4.3.3.3.2, pg.94-96 CdS)</t>
        </is>
      </c>
    </row>
    <row r="2" ht="55" customHeight="1">
      <c r="A2" s="12" t="inlineStr">
        <is>
          <t>Scope: Gateway HA HL7; ADT/ORM/ORU/MDM/ACK; mTLS+MLLP; queue+retry+DLQ; integrare 3 institute LIMS reale; IAM Keycloak (JWT); audit -&gt; ETL/DW; 1000+ msg/sec; 3 ani garantie.</t>
        </is>
      </c>
    </row>
    <row r="4" ht="28" customHeight="1">
      <c r="A4" s="1" t="inlineStr">
        <is>
          <t>Faza</t>
        </is>
      </c>
      <c r="B4" s="1" t="inlineStr">
        <is>
          <t>Estimat man-day</t>
        </is>
      </c>
      <c r="C4" s="1" t="inlineStr">
        <is>
          <t>Risk %</t>
        </is>
      </c>
      <c r="D4" s="1" t="inlineStr">
        <is>
          <t>Descriere risc</t>
        </is>
      </c>
      <c r="E4" s="1" t="inlineStr">
        <is>
          <t>Note / Livrabile</t>
        </is>
      </c>
    </row>
    <row r="5">
      <c r="A5" s="10" t="inlineStr">
        <is>
          <t>1. Analiza cerinte + HL7 version assessment</t>
        </is>
      </c>
      <c r="B5" s="13" t="n">
        <v>15</v>
      </c>
      <c r="C5" s="14" t="n">
        <v>0.25</v>
      </c>
      <c r="D5" s="10" t="inlineStr">
        <is>
          <t>Investigare LIMS la IDSA, IISPV, ICBMV; v2.5.1/v2.8/FHIR R4?</t>
        </is>
      </c>
      <c r="E5" s="10" t="inlineStr">
        <is>
          <t>Assessment; recomandare versiune</t>
        </is>
      </c>
    </row>
    <row r="6">
      <c r="A6" s="10" t="inlineStr">
        <is>
          <t>2. Mapping mesaje HL7 veterinary</t>
        </is>
      </c>
      <c r="B6" s="13" t="n">
        <v>22</v>
      </c>
      <c r="C6" s="14" t="n">
        <v>0.3</v>
      </c>
      <c r="D6" s="10" t="inlineStr">
        <is>
          <t>HL7 std uman; veterinary mai putin</t>
        </is>
      </c>
      <c r="E6" s="10" t="inlineStr">
        <is>
          <t>Mapping ADT/ORM/ORU/MDM; custom</t>
        </is>
      </c>
    </row>
    <row r="7">
      <c r="A7" s="10" t="inlineStr">
        <is>
          <t>3. Arhitectura gateway HA</t>
        </is>
      </c>
      <c r="B7" s="13" t="n">
        <v>12</v>
      </c>
      <c r="C7" s="14" t="n">
        <v>0.1</v>
      </c>
      <c r="D7" s="10" t="inlineStr">
        <is>
          <t>Cluster activ-pasiv; idempotency; DLQ</t>
        </is>
      </c>
      <c r="E7" s="10" t="inlineStr">
        <is>
          <t>ADR; sequence; HA topology</t>
        </is>
      </c>
    </row>
    <row r="8">
      <c r="A8" s="10" t="inlineStr">
        <is>
          <t>4. Selectie produs + setup</t>
        </is>
      </c>
      <c r="B8" s="13" t="n">
        <v>10</v>
      </c>
      <c r="C8" s="14" t="n">
        <v>0.15</v>
      </c>
      <c r="D8" s="10" t="inlineStr">
        <is>
          <t>Mirth vs Iguana (~30k) vs InterSystems (~50k)</t>
        </is>
      </c>
      <c r="E8" s="10" t="inlineStr">
        <is>
          <t>Vendor eval; PoC</t>
        </is>
      </c>
    </row>
    <row r="9">
      <c r="A9" s="10" t="inlineStr">
        <is>
          <t>5. Setup gateway + canale baseline</t>
        </is>
      </c>
      <c r="B9" s="13" t="n">
        <v>14</v>
      </c>
      <c r="C9" s="14" t="n">
        <v>0.15</v>
      </c>
      <c r="D9" s="10" t="inlineStr">
        <is>
          <t>Mirth cluster; per institut</t>
        </is>
      </c>
      <c r="E9" s="10" t="inlineStr">
        <is>
          <t>Mirth prod+dev; canale</t>
        </is>
      </c>
    </row>
    <row r="10">
      <c r="A10" s="10" t="inlineStr">
        <is>
          <t>6. Transformatori SQL -&gt; HL7 outbound</t>
        </is>
      </c>
      <c r="B10" s="13" t="n">
        <v>30</v>
      </c>
      <c r="C10" s="14" t="n">
        <v>0.25</v>
      </c>
      <c r="D10" s="10" t="inlineStr">
        <is>
          <t>JS transformers; 4-5 mesaje; diacritice RO</t>
        </is>
      </c>
      <c r="E10" s="10" t="inlineStr">
        <is>
          <t>Channels; tests</t>
        </is>
      </c>
    </row>
    <row r="11">
      <c r="A11" s="10" t="inlineStr">
        <is>
          <t>7. Transformatori HL7 -&gt; SQL inbound</t>
        </is>
      </c>
      <c r="B11" s="13" t="n">
        <v>25</v>
      </c>
      <c r="C11" s="14" t="n">
        <v>0.25</v>
      </c>
      <c r="D11" s="10" t="inlineStr">
        <is>
          <t>Parse; validare; error handling</t>
        </is>
      </c>
      <c r="E11" s="10" t="inlineStr">
        <is>
          <t>Parsere; validators; storage</t>
        </is>
      </c>
    </row>
    <row r="12">
      <c r="A12" s="10" t="inlineStr">
        <is>
          <t>8. Queue + retry + DLQ + idempotency</t>
        </is>
      </c>
      <c r="B12" s="13" t="n">
        <v>18</v>
      </c>
      <c r="C12" s="14" t="n">
        <v>0.2</v>
      </c>
      <c r="D12" s="10" t="inlineStr">
        <is>
          <t>Status mesaje; idempotency keys; exp backoff</t>
        </is>
      </c>
      <c r="E12" s="10" t="inlineStr">
        <is>
          <t>Tabela; cron retry; DLQ</t>
        </is>
      </c>
    </row>
    <row r="13">
      <c r="A13" s="10" t="inlineStr">
        <is>
          <t>9. Audit logging (GDPR sanitar)</t>
        </is>
      </c>
      <c r="B13" s="13" t="n">
        <v>14</v>
      </c>
      <c r="C13" s="14" t="n">
        <v>0.15</v>
      </c>
      <c r="D13" s="10" t="inlineStr">
        <is>
          <t>Audit acces; retention 7 ani; anonimizare</t>
        </is>
      </c>
      <c r="E13" s="10" t="inlineStr">
        <is>
          <t>Schema; retention; SIEM</t>
        </is>
      </c>
    </row>
    <row r="14">
      <c r="A14" s="10" t="inlineStr">
        <is>
          <t>10. Backup + restore</t>
        </is>
      </c>
      <c r="B14" s="13" t="n">
        <v>8</v>
      </c>
      <c r="C14" s="14" t="n">
        <v>0.1</v>
      </c>
      <c r="D14" s="10" t="inlineStr">
        <is>
          <t>Cerinta CdS; daily backup; restore drill</t>
        </is>
      </c>
      <c r="E14" s="10" t="inlineStr">
        <is>
          <t>Script; runbook</t>
        </is>
      </c>
    </row>
    <row r="15">
      <c r="A15" s="10" t="inlineStr">
        <is>
          <t>11. API REST in fata (app mobila + portal)</t>
        </is>
      </c>
      <c r="B15" s="13" t="n">
        <v>22</v>
      </c>
      <c r="C15" s="14" t="n">
        <v>0.2</v>
      </c>
      <c r="D15" s="10" t="inlineStr">
        <is>
          <t>REST; JWT; OpenAPI; rate limit</t>
        </is>
      </c>
      <c r="E15" s="10" t="inlineStr">
        <is>
          <t>OpenAPI; controller; JWT</t>
        </is>
      </c>
    </row>
    <row r="16">
      <c r="A16" s="10" t="inlineStr">
        <is>
          <t>11b. Integrare IAM Keycloak + audit ETL/DW</t>
        </is>
      </c>
      <c r="B16" s="13" t="n">
        <v>10</v>
      </c>
      <c r="C16" s="14" t="n">
        <v>0.15</v>
      </c>
      <c r="D16" s="10" t="inlineStr">
        <is>
          <t>Validare JWT cu JWKS Keycloak; claims-based authorization per endpoint; audit mesaje HL7 publicat catre ETL/DW pt. raportare cantitativa + conformitate GDPR</t>
        </is>
      </c>
      <c r="E16" s="10" t="inlineStr">
        <is>
          <t>Keycloak adapter; JWKS cache; audit publisher</t>
        </is>
      </c>
    </row>
    <row r="17">
      <c r="A17" s="10" t="inlineStr">
        <is>
          <t>12. Integrare cu Sistem responsive (3.4.3.3.3.1)</t>
        </is>
      </c>
      <c r="B17" s="13" t="n">
        <v>14</v>
      </c>
      <c r="C17" s="14" t="n">
        <v>0.15</v>
      </c>
      <c r="D17" s="10" t="inlineStr">
        <is>
          <t>Joint design; shared schema</t>
        </is>
      </c>
      <c r="E17" s="10" t="inlineStr">
        <is>
          <t>API contract; integration tests</t>
        </is>
      </c>
    </row>
    <row r="18">
      <c r="A18" s="10" t="inlineStr">
        <is>
          <t>13. TLS mutual + MLLP over TLS</t>
        </is>
      </c>
      <c r="B18" s="13" t="n">
        <v>18</v>
      </c>
      <c r="C18" s="14" t="n">
        <v>0.25</v>
      </c>
      <c r="D18" s="10" t="inlineStr">
        <is>
          <t>MLLP putine produse RO nativ; mTLS; cert rotation</t>
        </is>
      </c>
      <c r="E18" s="10" t="inlineStr">
        <is>
          <t>mTLS config; MLLP framing</t>
        </is>
      </c>
    </row>
    <row r="19">
      <c r="A19" s="10" t="inlineStr">
        <is>
          <t>14. Monitorizare Grafana + Prometheus</t>
        </is>
      </c>
      <c r="B19" s="13" t="n">
        <v>10</v>
      </c>
      <c r="C19" s="14" t="n">
        <v>0.1</v>
      </c>
      <c r="D19" s="10" t="inlineStr">
        <is>
          <t>Queue depth, msg/sec, error rate, latency</t>
        </is>
      </c>
      <c r="E19" s="10" t="inlineStr">
        <is>
          <t>Dashboard; alerte</t>
        </is>
      </c>
    </row>
    <row r="20">
      <c r="A20" s="10" t="inlineStr">
        <is>
          <t>15. Testare unit + integration cu HAPI</t>
        </is>
      </c>
      <c r="B20" s="13" t="n">
        <v>28</v>
      </c>
      <c r="C20" s="14" t="n">
        <v>0.15</v>
      </c>
      <c r="D20" s="10" t="inlineStr">
        <is>
          <t>Sintetic msg; mock LIMS; edge cases</t>
        </is>
      </c>
      <c r="E20" s="10" t="inlineStr">
        <is>
          <t>JUnit; HAPI simulator</t>
        </is>
      </c>
    </row>
    <row r="21">
      <c r="A21" s="10" t="inlineStr">
        <is>
          <t>16. Testare conformitate HL7</t>
        </is>
      </c>
      <c r="B21" s="13" t="n">
        <v>18</v>
      </c>
      <c r="C21" s="14" t="n">
        <v>0.2</v>
      </c>
      <c r="D21" s="10" t="inlineStr">
        <is>
          <t>HAPI Conformance / Caristix</t>
        </is>
      </c>
      <c r="E21" s="10" t="inlineStr">
        <is>
          <t>Conformance profile; raport</t>
        </is>
      </c>
    </row>
    <row r="22">
      <c r="A22" s="10" t="inlineStr">
        <is>
          <t>17. Testare interop cu LIMS REAL (3 institute)</t>
        </is>
      </c>
      <c r="B22" s="13" t="n">
        <v>45</v>
      </c>
      <c r="C22" s="14" t="n">
        <v>0.45</v>
      </c>
      <c r="D22" s="10" t="inlineStr">
        <is>
          <t>CEL MAI MARE RISC: 3 institute, dialecte HL7, custom segments; 3 cicluri joint test</t>
        </is>
      </c>
      <c r="E22" s="10" t="inlineStr">
        <is>
          <t>Joint testing; defect fix; sign-off</t>
        </is>
      </c>
    </row>
    <row r="23">
      <c r="A23" s="10" t="inlineStr">
        <is>
          <t>18. Performance testing</t>
        </is>
      </c>
      <c r="B23" s="13" t="n">
        <v>12</v>
      </c>
      <c r="C23" s="14" t="n">
        <v>0.15</v>
      </c>
      <c r="D23" s="10" t="inlineStr">
        <is>
          <t>Target 1000+ msg/sec; load test</t>
        </is>
      </c>
      <c r="E23" s="10" t="inlineStr">
        <is>
          <t>Load report; perf baseline</t>
        </is>
      </c>
    </row>
    <row r="24">
      <c r="A24" s="10" t="inlineStr">
        <is>
          <t>19. Doc tehnica administratori</t>
        </is>
      </c>
      <c r="B24" s="13" t="n">
        <v>12</v>
      </c>
      <c r="C24" s="14" t="n">
        <v>0.05</v>
      </c>
      <c r="D24" s="10" t="inlineStr">
        <is>
          <t>Admin guide; troubleshooting</t>
        </is>
      </c>
      <c r="E24" s="10" t="inlineStr">
        <is>
          <t>Admin guide; runbook</t>
        </is>
      </c>
    </row>
    <row r="25">
      <c r="A25" s="10" t="inlineStr">
        <is>
          <t>20. Doc conformitate + mesaje suportate</t>
        </is>
      </c>
      <c r="B25" s="13" t="n">
        <v>8</v>
      </c>
      <c r="C25" s="14" t="n">
        <v>0.05</v>
      </c>
      <c r="D25" s="10" t="inlineStr">
        <is>
          <t>Spec compliance pt. evaluare</t>
        </is>
      </c>
      <c r="E25" s="10" t="inlineStr">
        <is>
          <t>Spec doc; tabel mesaje</t>
        </is>
      </c>
    </row>
    <row r="26">
      <c r="A26" s="10" t="inlineStr">
        <is>
          <t>21. UAT beneficiar</t>
        </is>
      </c>
      <c r="B26" s="13" t="n">
        <v>22</v>
      </c>
      <c r="C26" s="14" t="n">
        <v>0.25</v>
      </c>
      <c r="D26" s="10" t="inlineStr">
        <is>
          <t>Mesajele HL7 nu se valideaza vizual usor</t>
        </is>
      </c>
      <c r="E26" s="10" t="inlineStr">
        <is>
          <t>UAT plan; defect log</t>
        </is>
      </c>
    </row>
    <row r="27">
      <c r="A27" s="10" t="inlineStr">
        <is>
          <t>22. Pre-prod + go-live (paralel-run 4 sapt)</t>
        </is>
      </c>
      <c r="B27" s="13" t="n">
        <v>18</v>
      </c>
      <c r="C27" s="14" t="n">
        <v>0.25</v>
      </c>
      <c r="D27" s="10" t="inlineStr">
        <is>
          <t>Paralel-run; reconciliere zilnica</t>
        </is>
      </c>
      <c r="E27" s="10" t="inlineStr">
        <is>
          <t>Deploy; paralel-run; cutover</t>
        </is>
      </c>
    </row>
    <row r="28">
      <c r="A28" s="10" t="inlineStr">
        <is>
          <t>23. Hyper-care 4 sapt</t>
        </is>
      </c>
      <c r="B28" s="13" t="n">
        <v>14</v>
      </c>
      <c r="C28" s="14" t="n">
        <v>0.15</v>
      </c>
      <c r="D28" s="10" t="inlineStr">
        <is>
          <t>On-call 24/7 prima sapt</t>
        </is>
      </c>
      <c r="E28" s="10" t="inlineStr">
        <is>
          <t>On-call; war room</t>
        </is>
      </c>
    </row>
    <row r="29">
      <c r="A29" s="15" t="inlineStr">
        <is>
          <t>SUBTOTAL implementare initiala</t>
        </is>
      </c>
      <c r="B29" s="16">
        <f>SUM(B5:B28)</f>
        <v/>
      </c>
      <c r="C29" s="17">
        <f>SUMPRODUCT(B5:B28,C5:C28)/SUM(B5:B28)</f>
        <v/>
      </c>
      <c r="D29" s="15" t="inlineStr">
        <is>
          <t>Risc mediu ponderat</t>
        </is>
      </c>
      <c r="E29" s="15" t="n"/>
    </row>
    <row r="30">
      <c r="A30" s="18" t="inlineStr">
        <is>
          <t>Buffer contingency (20%)</t>
        </is>
      </c>
      <c r="B30" s="19">
        <f>ROUND(B29*0.20,0)</f>
        <v/>
      </c>
      <c r="C30" s="18" t="n"/>
      <c r="D30" s="18" t="n"/>
      <c r="E30" s="18" t="inlineStr">
        <is>
          <t>Standard proiecte gov IT</t>
        </is>
      </c>
    </row>
    <row r="31">
      <c r="A31" s="20" t="inlineStr">
        <is>
          <t>TOTAL IMPLEMENTARE + BUFFER</t>
        </is>
      </c>
      <c r="B31" s="20">
        <f>B29+B30</f>
        <v/>
      </c>
      <c r="C31" s="20" t="n"/>
      <c r="D31" s="20" t="n"/>
      <c r="E31" s="20" t="n"/>
    </row>
    <row r="33">
      <c r="A33" s="21" t="inlineStr">
        <is>
          <t>MENTENANTA + SUPORT (3 ani conform CdS)</t>
        </is>
      </c>
      <c r="B33" s="22" t="n"/>
      <c r="C33" s="22" t="n"/>
      <c r="D33" s="22" t="n"/>
      <c r="E33" s="23" t="n"/>
    </row>
    <row r="34">
      <c r="A34" s="1" t="inlineStr">
        <is>
          <t>Faza</t>
        </is>
      </c>
      <c r="B34" s="1" t="inlineStr">
        <is>
          <t>Estimat man-day</t>
        </is>
      </c>
      <c r="C34" s="1" t="inlineStr">
        <is>
          <t>Risk %</t>
        </is>
      </c>
      <c r="D34" s="1" t="inlineStr">
        <is>
          <t>Descriere risc</t>
        </is>
      </c>
      <c r="E34" s="1" t="inlineStr">
        <is>
          <t>Note / Livrabile</t>
        </is>
      </c>
    </row>
    <row r="35">
      <c r="A35" s="10" t="inlineStr">
        <is>
          <t>Mentenanta + suport L2+L3 (per AN; 3 ani CdS)</t>
        </is>
      </c>
      <c r="B35" s="13" t="n">
        <v>200</v>
      </c>
      <c r="C35" s="14" t="n">
        <v>0.2</v>
      </c>
      <c r="D35" s="10" t="inlineStr">
        <is>
          <t>HL7 stabil dar update-uri LIMS adaptari; SLA obligatoriu; CVE-uri Mirth/Java patch prompt; cert mTLS rotation 1-2 ani</t>
        </is>
      </c>
      <c r="E35" s="10" t="inlineStr">
        <is>
          <t>BREAKDOWN/AN: ~60z corrective + ~50z adaptive (LIMS terte, cert, CVE) + ~40z perfective + ~50z on-call. ~1.0 FTE.</t>
        </is>
      </c>
    </row>
    <row r="36">
      <c r="A36" s="24" t="inlineStr">
        <is>
          <t>TOTAL MENTENANTA 3 ani (cumulativ)</t>
        </is>
      </c>
      <c r="B36" s="24">
        <f>B35*3</f>
        <v/>
      </c>
      <c r="C36" s="24" t="n"/>
      <c r="D36" s="24" t="n"/>
      <c r="E36" s="24" t="inlineStr">
        <is>
          <t>Conform CdS - garantie L2+L3 pe 3 ani</t>
        </is>
      </c>
    </row>
  </sheetData>
  <mergeCells count="3">
    <mergeCell ref="A2:E2"/>
    <mergeCell ref="A1:E1"/>
    <mergeCell ref="A33:E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58" customWidth="1" min="4" max="4"/>
    <col width="58" customWidth="1" min="5" max="5"/>
  </cols>
  <sheetData>
    <row r="1">
      <c r="A1" s="11" t="inlineStr">
        <is>
          <t>Estimare efort - Portal Servicii Publice (3.4.3.3.2, pg.83-86 CdS)</t>
        </is>
      </c>
    </row>
    <row r="2" ht="55" customHeight="1">
      <c r="A2" s="12" t="inlineStr">
        <is>
          <t>Scope: Portal multi-stakeholder (cetateni+firme+medici vet) cu 56 servicii; 185k useri/an; 46 institutii; ROeID + IAM Keycloak broker federat; 8 integrari externe; ESB intern + GIS central; ETL events + BI embed; BPM; PWA; A11y; OWASP; 3 ani garantie.</t>
        </is>
      </c>
    </row>
    <row r="4" ht="28" customHeight="1">
      <c r="A4" s="1" t="inlineStr">
        <is>
          <t>Faza</t>
        </is>
      </c>
      <c r="B4" s="1" t="inlineStr">
        <is>
          <t>Estimat man-day</t>
        </is>
      </c>
      <c r="C4" s="1" t="inlineStr">
        <is>
          <t>Risk %</t>
        </is>
      </c>
      <c r="D4" s="1" t="inlineStr">
        <is>
          <t>Descriere risc</t>
        </is>
      </c>
      <c r="E4" s="1" t="inlineStr">
        <is>
          <t>Note / Livrabile</t>
        </is>
      </c>
    </row>
    <row r="5">
      <c r="A5" s="10" t="inlineStr">
        <is>
          <t>1. Analiza cerinte + 46 institutii stakeholderi</t>
        </is>
      </c>
      <c r="B5" s="13" t="n">
        <v>60</v>
      </c>
      <c r="C5" s="14" t="n">
        <v>0.2</v>
      </c>
      <c r="D5" s="10" t="inlineStr">
        <is>
          <t>46 institutii; 3 tip useri; 56 servicii; 15-20 workshops</t>
        </is>
      </c>
      <c r="E5" s="10" t="inlineStr">
        <is>
          <t>User stories; catalog; backlog</t>
        </is>
      </c>
    </row>
    <row r="6">
      <c r="A6" s="10" t="inlineStr">
        <is>
          <t>2. UX research + persona + journey</t>
        </is>
      </c>
      <c r="B6" s="13" t="n">
        <v>45</v>
      </c>
      <c r="C6" s="14" t="n">
        <v>0.15</v>
      </c>
      <c r="D6" s="10" t="inlineStr">
        <is>
          <t>Persona cetatean/firma/medic vet; 56 servicii × 3-4 states</t>
        </is>
      </c>
      <c r="E6" s="10" t="inlineStr">
        <is>
          <t>Personas; journey; blueprints</t>
        </is>
      </c>
    </row>
    <row r="7">
      <c r="A7" s="10" t="inlineStr">
        <is>
          <t>3. IA + sitemap taxonomie</t>
        </is>
      </c>
      <c r="B7" s="13" t="n">
        <v>32</v>
      </c>
      <c r="C7" s="14" t="n">
        <v>0.15</v>
      </c>
      <c r="D7" s="10" t="inlineStr">
        <is>
          <t>Taxonomie pe tip user; search faceted</t>
        </is>
      </c>
      <c r="E7" s="10" t="inlineStr">
        <is>
          <t>Sitemap; navigation tree</t>
        </is>
      </c>
    </row>
    <row r="8">
      <c r="A8" s="10" t="inlineStr">
        <is>
          <t>4. UI design system + brand + componente</t>
        </is>
      </c>
      <c r="B8" s="13" t="n">
        <v>52</v>
      </c>
      <c r="C8" s="14" t="n">
        <v>0.15</v>
      </c>
      <c r="D8" s="10" t="inlineStr">
        <is>
          <t>Atomic 100+ comp; tokens; responsive</t>
        </is>
      </c>
      <c r="E8" s="10" t="inlineStr">
        <is>
          <t>Figma DS; tokens</t>
        </is>
      </c>
    </row>
    <row r="9">
      <c r="A9" s="10" t="inlineStr">
        <is>
          <t>5. Wireframes Lo-Fi 56 servicii (~200 ecrane)</t>
        </is>
      </c>
      <c r="B9" s="13" t="n">
        <v>80</v>
      </c>
      <c r="C9" s="14" t="n">
        <v>0.2</v>
      </c>
      <c r="D9" s="10" t="inlineStr">
        <is>
          <t>56 × 3-4 ecrane medie</t>
        </is>
      </c>
      <c r="E9" s="10" t="inlineStr">
        <is>
          <t>Wireframes; flow</t>
        </is>
      </c>
    </row>
    <row r="10">
      <c r="A10" s="10" t="inlineStr">
        <is>
          <t>6. Hi-Fi mockups responsive</t>
        </is>
      </c>
      <c r="B10" s="13" t="n">
        <v>75</v>
      </c>
      <c r="C10" s="14" t="n">
        <v>0.15</v>
      </c>
      <c r="D10" s="10" t="inlineStr">
        <is>
          <t>200 ecrane × 3 variante = 600 frame-uri</t>
        </is>
      </c>
      <c r="E10" s="10" t="inlineStr">
        <is>
          <t>Hi-Fi; prototype</t>
        </is>
      </c>
    </row>
    <row r="11">
      <c r="A11" s="10" t="inlineStr">
        <is>
          <t>7. A11y WCAG 2.1 AA design review</t>
        </is>
      </c>
      <c r="B11" s="13" t="n">
        <v>25</v>
      </c>
      <c r="C11" s="14" t="n">
        <v>0.15</v>
      </c>
      <c r="D11" s="10" t="inlineStr">
        <is>
          <t>AA mandator gov; remediere</t>
        </is>
      </c>
      <c r="E11" s="10" t="inlineStr">
        <is>
          <t>Audit; design corectat</t>
        </is>
      </c>
    </row>
    <row r="12">
      <c r="A12" s="10" t="inlineStr">
        <is>
          <t>8. Arhitectura + ADR + setup</t>
        </is>
      </c>
      <c r="B12" s="13" t="n">
        <v>35</v>
      </c>
      <c r="C12" s="14" t="n">
        <v>0.1</v>
      </c>
      <c r="D12" s="10" t="inlineStr">
        <is>
          <t>Microservices vs mono; K8s vs VM</t>
        </is>
      </c>
      <c r="E12" s="10" t="inlineStr">
        <is>
          <t>ADR; HLD; CI/CD</t>
        </is>
      </c>
    </row>
    <row r="13">
      <c r="A13" s="10" t="inlineStr">
        <is>
          <t>9. FE - shell + navigation + state</t>
        </is>
      </c>
      <c r="B13" s="13" t="n">
        <v>40</v>
      </c>
      <c r="C13" s="14" t="n">
        <v>0.15</v>
      </c>
      <c r="D13" s="10" t="inlineStr">
        <is>
          <t>SPA; lazy loading; Redux/Pinia; SSR opt</t>
        </is>
      </c>
      <c r="E13" s="10" t="inlineStr">
        <is>
          <t>Shell; routing; auth gate</t>
        </is>
      </c>
    </row>
    <row r="14">
      <c r="A14" s="10" t="inlineStr">
        <is>
          <t>10. FE - design system implementation</t>
        </is>
      </c>
      <c r="B14" s="13" t="n">
        <v>50</v>
      </c>
      <c r="C14" s="14" t="n">
        <v>0.15</v>
      </c>
      <c r="D14" s="10" t="inlineStr">
        <is>
          <t>Storybook; 100+ comp; a11y per comp</t>
        </is>
      </c>
      <c r="E14" s="10" t="inlineStr">
        <is>
          <t>Storybook; coverage &gt; 70%</t>
        </is>
      </c>
    </row>
    <row r="15">
      <c r="A15" s="10" t="inlineStr">
        <is>
          <t>11. FE - homepage + catalog + search</t>
        </is>
      </c>
      <c r="B15" s="13" t="n">
        <v>45</v>
      </c>
      <c r="C15" s="14" t="n">
        <v>0.15</v>
      </c>
      <c r="D15" s="10" t="inlineStr">
        <is>
          <t>56 servicii; Elasticsearch; filters</t>
        </is>
      </c>
      <c r="E15" s="10" t="inlineStr">
        <is>
          <t>Catalog; search UI</t>
        </is>
      </c>
    </row>
    <row r="16">
      <c r="A16" s="10" t="inlineStr">
        <is>
          <t>12. FE - 56 servicii formulare (~4z/serviciu)</t>
        </is>
      </c>
      <c r="B16" s="13" t="n">
        <v>224</v>
      </c>
      <c r="C16" s="14" t="n">
        <v>0.25</v>
      </c>
      <c r="D16" s="10" t="inlineStr">
        <is>
          <t>56 × 4z medie; validare; auto-save</t>
        </is>
      </c>
      <c r="E16" s="10" t="inlineStr">
        <is>
          <t>56 formulare</t>
        </is>
      </c>
    </row>
    <row r="17">
      <c r="A17" s="10" t="inlineStr">
        <is>
          <t>13. FE - dashboard + istoric + notificari</t>
        </is>
      </c>
      <c r="B17" s="13" t="n">
        <v>45</v>
      </c>
      <c r="C17" s="14" t="n">
        <v>0.15</v>
      </c>
      <c r="D17" s="10" t="inlineStr">
        <is>
          <t>Personal area; notification center</t>
        </is>
      </c>
      <c r="E17" s="10" t="inlineStr">
        <is>
          <t>Dashboard; profil</t>
        </is>
      </c>
    </row>
    <row r="18">
      <c r="A18" s="10" t="inlineStr">
        <is>
          <t>14. FE - CMS editorial content</t>
        </is>
      </c>
      <c r="B18" s="13" t="n">
        <v>35</v>
      </c>
      <c r="C18" s="14" t="n">
        <v>0.1</v>
      </c>
      <c r="D18" s="10" t="inlineStr">
        <is>
          <t>News, FAQ, ghiduri PDF, regulamente</t>
        </is>
      </c>
      <c r="E18" s="10" t="inlineStr">
        <is>
          <t>CMS frontend</t>
        </is>
      </c>
    </row>
    <row r="19">
      <c r="A19" s="10" t="inlineStr">
        <is>
          <t>15. FE - PWA features</t>
        </is>
      </c>
      <c r="B19" s="13" t="n">
        <v>25</v>
      </c>
      <c r="C19" s="14" t="n">
        <v>0.15</v>
      </c>
      <c r="D19" s="10" t="inlineStr">
        <is>
          <t>SW; offline cache; push web; install</t>
        </is>
      </c>
      <c r="E19" s="10" t="inlineStr">
        <is>
          <t>PWA installabila</t>
        </is>
      </c>
    </row>
    <row r="20">
      <c r="A20" s="10" t="inlineStr">
        <is>
          <t>16. BE - API gateway + microservices</t>
        </is>
      </c>
      <c r="B20" s="13" t="n">
        <v>40</v>
      </c>
      <c r="C20" s="14" t="n">
        <v>0.15</v>
      </c>
      <c r="D20" s="10" t="inlineStr">
        <is>
          <t>Kong/Krakend; decompozitie; rate limit</t>
        </is>
      </c>
      <c r="E20" s="10" t="inlineStr">
        <is>
          <t>Gateway config</t>
        </is>
      </c>
    </row>
    <row r="21">
      <c r="A21" s="10" t="inlineStr">
        <is>
          <t>17. BE - auth ROeID + RBAC business per 56 servicii</t>
        </is>
      </c>
      <c r="B21" s="13" t="n">
        <v>35</v>
      </c>
      <c r="C21" s="14" t="n">
        <v>0.3</v>
      </c>
      <c r="D21" s="10" t="inlineStr">
        <is>
          <t>ROeID OAuth2 UI flow; MFA; RBAC business per serviciu</t>
        </is>
      </c>
      <c r="E21" s="10" t="inlineStr">
        <is>
          <t>Auth service; ROeID adapter; RBAC matrix</t>
        </is>
      </c>
    </row>
    <row r="22">
      <c r="A22" s="10" t="inlineStr">
        <is>
          <t>17b. Integrare IAM Keycloak (broker federat + SSO + user federation)</t>
        </is>
      </c>
      <c r="B22" s="13" t="n">
        <v>25</v>
      </c>
      <c r="C22" s="14" t="n">
        <v>0.25</v>
      </c>
      <c r="D22" s="10" t="inlineStr">
        <is>
          <t>Keycloak ca broker federat: ROeID -&gt; Keycloak -&gt; toate componentele SIDISVA; SSO server-side intre Portal+DMS+LIMS+BND; user federation LDAP; claims mapping; theme custom ANSVSA; admin console Keycloak</t>
        </is>
      </c>
      <c r="E22" s="10" t="inlineStr">
        <is>
          <t>Keycloak realm; IdPs ROeID+LDAP+local; claims mappers; client config per componenta</t>
        </is>
      </c>
    </row>
    <row r="23">
      <c r="A23" s="10" t="inlineStr">
        <is>
          <t>18. BE - 56 servicii business logic (~6z/serviciu)</t>
        </is>
      </c>
      <c r="B23" s="13" t="n">
        <v>336</v>
      </c>
      <c r="C23" s="14" t="n">
        <v>0.25</v>
      </c>
      <c r="D23" s="10" t="inlineStr">
        <is>
          <t>56 × 6z BE medie; validari, persistence, gen docs</t>
        </is>
      </c>
      <c r="E23" s="10" t="inlineStr">
        <is>
          <t>56 servicii; OpenAPI; DTO</t>
        </is>
      </c>
    </row>
    <row r="24">
      <c r="A24" s="10" t="inlineStr">
        <is>
          <t>19. BE - workflow engine BPM</t>
        </is>
      </c>
      <c r="B24" s="13" t="n">
        <v>60</v>
      </c>
      <c r="C24" s="14" t="n">
        <v>0.2</v>
      </c>
      <c r="D24" s="10" t="inlineStr">
        <is>
          <t>Autorizare 30-60z multi-nivel; BPMN; DMS integration</t>
        </is>
      </c>
      <c r="E24" s="10" t="inlineStr">
        <is>
          <t>BPM; workflows; escalare</t>
        </is>
      </c>
    </row>
    <row r="25">
      <c r="A25" s="10" t="inlineStr">
        <is>
          <t>20. BE - storage + AV + e-signature</t>
        </is>
      </c>
      <c r="B25" s="13" t="n">
        <v>28</v>
      </c>
      <c r="C25" s="14" t="n">
        <v>0.15</v>
      </c>
      <c r="D25" s="10" t="inlineStr">
        <is>
          <t>MinIO/S3; ClamAV; qualified signature</t>
        </is>
      </c>
      <c r="E25" s="10" t="inlineStr">
        <is>
          <t>Storage; AV; e-sign</t>
        </is>
      </c>
    </row>
    <row r="26">
      <c r="A26" s="10" t="inlineStr">
        <is>
          <t>21. BE - notificari multi-channel</t>
        </is>
      </c>
      <c r="B26" s="13" t="n">
        <v>35</v>
      </c>
      <c r="C26" s="14" t="n">
        <v>0.15</v>
      </c>
      <c r="D26" s="10" t="inlineStr">
        <is>
          <t>Email + SMS + push; templating; opt-in</t>
        </is>
      </c>
      <c r="E26" s="10" t="inlineStr">
        <is>
          <t>Notification service; templates</t>
        </is>
      </c>
    </row>
    <row r="27">
      <c r="A27" s="10" t="inlineStr">
        <is>
          <t>22. BE - integrari externe (8 sisteme: ROeID, PNI, PCUe, ONRC, APIA, ANCPI, ANARZ, CMV)</t>
        </is>
      </c>
      <c r="B27" s="13" t="n">
        <v>140</v>
      </c>
      <c r="C27" s="14" t="n">
        <v>0.35</v>
      </c>
      <c r="D27" s="10" t="inlineStr">
        <is>
          <t>8 × ~17.5z medie; RISC: API parteneri</t>
        </is>
      </c>
      <c r="E27" s="10" t="inlineStr">
        <is>
          <t>8 adaptari; circuit breakers</t>
        </is>
      </c>
    </row>
    <row r="28">
      <c r="A28" s="10" t="inlineStr">
        <is>
          <t>22b. Integrare ESB intern (mesaje async cross-component)</t>
        </is>
      </c>
      <c r="B28" s="13" t="n">
        <v>50</v>
      </c>
      <c r="C28" s="14" t="n">
        <v>0.25</v>
      </c>
      <c r="D28" s="10" t="inlineStr">
        <is>
          <t>Portal subscribe ESB de la DMS (status cerere), BND-SNIIA (registre), LIMS (rezultate), Supraveghere (alerte); publicare events Portal -&gt; alte comp; schema versioning; DLQ; idempotency; contract testing</t>
        </is>
      </c>
      <c r="E28" s="10" t="inlineStr">
        <is>
          <t>ESB consumers/producers; topic-uri; schema registry; saga</t>
        </is>
      </c>
    </row>
    <row r="29">
      <c r="A29" s="10" t="inlineStr">
        <is>
          <t>22c. Integrare Sistem GIS central (servicii cartografice)</t>
        </is>
      </c>
      <c r="B29" s="13" t="n">
        <v>42</v>
      </c>
      <c r="C29" s="14" t="n">
        <v>0.25</v>
      </c>
      <c r="D29" s="10" t="inlineStr">
        <is>
          <t>Consum WMS/WFS pt. hărti tematice publice (focare boli, distributie medici vet, restrictii); editor coordonate exploatatii in autorizari; Stereo70; cache server; auth GIS</t>
        </is>
      </c>
      <c r="E29" s="10" t="inlineStr">
        <is>
          <t>GIS client serverside; WMS/WFS proxy; cache; editor coords</t>
        </is>
      </c>
    </row>
    <row r="30">
      <c r="A30" s="10" t="inlineStr">
        <is>
          <t>23. BE - audit + GDPR compliance</t>
        </is>
      </c>
      <c r="B30" s="13" t="n">
        <v>28</v>
      </c>
      <c r="C30" s="14" t="n">
        <v>0.15</v>
      </c>
      <c r="D30" s="10" t="inlineStr">
        <is>
          <t>Audit Art. 30; retention; endpoints Art. 15-22</t>
        </is>
      </c>
      <c r="E30" s="10" t="inlineStr">
        <is>
          <t>Audit service; retention; GDPR endpoints</t>
        </is>
      </c>
    </row>
    <row r="31">
      <c r="A31" s="10" t="inlineStr">
        <is>
          <t>24. BE - contorizare servicii (3.4.2.13) - logica Portal</t>
        </is>
      </c>
      <c r="B31" s="13" t="n">
        <v>22</v>
      </c>
      <c r="C31" s="14" t="n">
        <v>0.1</v>
      </c>
      <c r="D31" s="10" t="inlineStr">
        <is>
          <t>Contorizare folosire servicii (logica de business + persistence)</t>
        </is>
      </c>
      <c r="E31" s="10" t="inlineStr">
        <is>
          <t>Contorizare service; tabele evenimente</t>
        </is>
      </c>
    </row>
    <row r="32">
      <c r="A32" s="10" t="inlineStr">
        <is>
          <t>24b. Integrare ETL / DW (event publisher contorizare + audit)</t>
        </is>
      </c>
      <c r="B32" s="13" t="n">
        <v>18</v>
      </c>
      <c r="C32" s="14" t="n">
        <v>0.15</v>
      </c>
      <c r="D32" s="10" t="inlineStr">
        <is>
          <t>Portal publica events catre ETL: utilizare servicii, audit, statistici GDPR; alimentare DW pt. EFSA + ANSVSA mgmt; back-pressure</t>
        </is>
      </c>
      <c r="E32" s="10" t="inlineStr">
        <is>
          <t>Event publisher; schema DW; reliable delivery</t>
        </is>
      </c>
    </row>
    <row r="33">
      <c r="A33" s="10" t="inlineStr">
        <is>
          <t>24c. Integrare BI dashboards (embed in admin console)</t>
        </is>
      </c>
      <c r="B33" s="13" t="n">
        <v>10</v>
      </c>
      <c r="C33" s="14" t="n">
        <v>0.1</v>
      </c>
      <c r="D33" s="10" t="inlineStr">
        <is>
          <t>Embed dashboards BI (Oracle Analytics/Power BI) in admin console pt. useri ANSVSA cu drept; SSO via Keycloak; iframe sandboxed</t>
        </is>
      </c>
      <c r="E33" s="10" t="inlineStr">
        <is>
          <t>BI embed adapter; SSO bridge</t>
        </is>
      </c>
    </row>
    <row r="34">
      <c r="A34" s="10" t="inlineStr">
        <is>
          <t>25. BE - admin console</t>
        </is>
      </c>
      <c r="B34" s="13" t="n">
        <v>45</v>
      </c>
      <c r="C34" s="14" t="n">
        <v>0.1</v>
      </c>
      <c r="D34" s="10" t="inlineStr">
        <is>
          <t>Self-service admin servicii/content/useri/roluri</t>
        </is>
      </c>
      <c r="E34" s="10" t="inlineStr">
        <is>
          <t>Admin console; permisiuni</t>
        </is>
      </c>
    </row>
    <row r="35">
      <c r="A35" s="10" t="inlineStr">
        <is>
          <t>26. Securitate WAF + pentest extern</t>
        </is>
      </c>
      <c r="B35" s="13" t="n">
        <v>50</v>
      </c>
      <c r="C35" s="14" t="n">
        <v>0.25</v>
      </c>
      <c r="D35" s="10" t="inlineStr">
        <is>
          <t>OWASP Top 10; pentest 2 cicluri</t>
        </is>
      </c>
      <c r="E35" s="10" t="inlineStr">
        <is>
          <t>Pentest; remediere; WAF rules</t>
        </is>
      </c>
    </row>
    <row r="36">
      <c r="A36" s="10" t="inlineStr">
        <is>
          <t>27. Performance &amp; scalability (185k useri)</t>
        </is>
      </c>
      <c r="B36" s="13" t="n">
        <v>35</v>
      </c>
      <c r="C36" s="14" t="n">
        <v>0.2</v>
      </c>
      <c r="D36" s="10" t="inlineStr">
        <is>
          <t>Load test 1000 conc; Redis; CDN</t>
        </is>
      </c>
      <c r="E36" s="10" t="inlineStr">
        <is>
          <t>Perf baseline; load report</t>
        </is>
      </c>
    </row>
    <row r="37">
      <c r="A37" s="10" t="inlineStr">
        <is>
          <t>28. Testare unit FE+BE</t>
        </is>
      </c>
      <c r="B37" s="13" t="n">
        <v>70</v>
      </c>
      <c r="C37" s="14" t="n">
        <v>0.1</v>
      </c>
      <c r="D37" s="10" t="inlineStr">
        <is>
          <t>Coverage &gt; 70%</t>
        </is>
      </c>
      <c r="E37" s="10" t="inlineStr">
        <is>
          <t>Coverage report</t>
        </is>
      </c>
    </row>
    <row r="38">
      <c r="A38" s="10" t="inlineStr">
        <is>
          <t>29. Testare integration</t>
        </is>
      </c>
      <c r="B38" s="13" t="n">
        <v>95</v>
      </c>
      <c r="C38" s="14" t="n">
        <v>0.15</v>
      </c>
      <c r="D38" s="10" t="inlineStr">
        <is>
          <t>56 servicii × BE + 8 integrari; mocks</t>
        </is>
      </c>
      <c r="E38" s="10" t="inlineStr">
        <is>
          <t>Test suite; mocks</t>
        </is>
      </c>
    </row>
    <row r="39">
      <c r="A39" s="10" t="inlineStr">
        <is>
          <t>30. Testare E2E</t>
        </is>
      </c>
      <c r="B39" s="13" t="n">
        <v>50</v>
      </c>
      <c r="C39" s="14" t="n">
        <v>0.15</v>
      </c>
      <c r="D39" s="10" t="inlineStr">
        <is>
          <t>Cypress/Playwright; cross-browser</t>
        </is>
      </c>
      <c r="E39" s="10" t="inlineStr">
        <is>
          <t>E2E suite</t>
        </is>
      </c>
    </row>
    <row r="40">
      <c r="A40" s="10" t="inlineStr">
        <is>
          <t>31. Testare A11y</t>
        </is>
      </c>
      <c r="B40" s="13" t="n">
        <v>22</v>
      </c>
      <c r="C40" s="14" t="n">
        <v>0.15</v>
      </c>
      <c r="D40" s="10" t="inlineStr">
        <is>
          <t>Axe + manual screen readers</t>
        </is>
      </c>
      <c r="E40" s="10" t="inlineStr">
        <is>
          <t>A11y report</t>
        </is>
      </c>
    </row>
    <row r="41">
      <c r="A41" s="10" t="inlineStr">
        <is>
          <t>32. Testare conformitate Anexa F</t>
        </is>
      </c>
      <c r="B41" s="13" t="n">
        <v>25</v>
      </c>
      <c r="C41" s="14" t="n">
        <v>0.1</v>
      </c>
      <c r="D41" s="10" t="inlineStr">
        <is>
          <t>1294 cerinte; trace matrix</t>
        </is>
      </c>
      <c r="E41" s="10" t="inlineStr">
        <is>
          <t>Test pe matrice; raport</t>
        </is>
      </c>
    </row>
    <row r="42">
      <c r="A42" s="10" t="inlineStr">
        <is>
          <t>33. Doc tehnica + OpenAPI</t>
        </is>
      </c>
      <c r="B42" s="13" t="n">
        <v>38</v>
      </c>
      <c r="C42" s="14" t="n">
        <v>0.05</v>
      </c>
      <c r="D42" s="10" t="inlineStr">
        <is>
          <t>OpenAPI 8 integrari + API public app mobila</t>
        </is>
      </c>
      <c r="E42" s="10" t="inlineStr">
        <is>
          <t>OpenAPI 3.0; dev portal</t>
        </is>
      </c>
    </row>
    <row r="43">
      <c r="A43" s="10" t="inlineStr">
        <is>
          <t>34. Doc utilizator + video</t>
        </is>
      </c>
      <c r="B43" s="13" t="n">
        <v>35</v>
      </c>
      <c r="C43" s="14" t="n">
        <v>0.05</v>
      </c>
      <c r="D43" s="10" t="inlineStr">
        <is>
          <t>Manual RO+EN; video tutorials top 20</t>
        </is>
      </c>
      <c r="E43" s="10" t="inlineStr">
        <is>
          <t>Manual PDF; 20 videos</t>
        </is>
      </c>
    </row>
    <row r="44">
      <c r="A44" s="10" t="inlineStr">
        <is>
          <t>35. UAT multi-stakeholder</t>
        </is>
      </c>
      <c r="B44" s="13" t="n">
        <v>70</v>
      </c>
      <c r="C44" s="14" t="n">
        <v>0.2</v>
      </c>
      <c r="D44" s="10" t="inlineStr">
        <is>
          <t>UAT 4-6 sapt; 3 cicluri</t>
        </is>
      </c>
      <c r="E44" s="10" t="inlineStr">
        <is>
          <t>UAT plan; defect log</t>
        </is>
      </c>
    </row>
    <row r="45">
      <c r="A45" s="10" t="inlineStr">
        <is>
          <t>36. Migrare continut existent</t>
        </is>
      </c>
      <c r="B45" s="13" t="n">
        <v>28</v>
      </c>
      <c r="C45" s="14" t="n">
        <v>0.3</v>
      </c>
      <c r="D45" s="10" t="inlineStr">
        <is>
          <t>Volum NECUNOSCUT</t>
        </is>
      </c>
      <c r="E45" s="10" t="inlineStr">
        <is>
          <t>Migration plan; scripts</t>
        </is>
      </c>
    </row>
    <row r="46">
      <c r="A46" s="10" t="inlineStr">
        <is>
          <t>37. Pre-prod + go-live faze</t>
        </is>
      </c>
      <c r="B46" s="13" t="n">
        <v>45</v>
      </c>
      <c r="C46" s="14" t="n">
        <v>0.15</v>
      </c>
      <c r="D46" s="10" t="inlineStr">
        <is>
          <t>3 faze: 10-15 -&gt; 20-25 -&gt; 56</t>
        </is>
      </c>
      <c r="E46" s="10" t="inlineStr">
        <is>
          <t>Deploy plan; phased release</t>
        </is>
      </c>
    </row>
    <row r="47">
      <c r="A47" s="10" t="inlineStr">
        <is>
          <t>38. Operationalizare + handover</t>
        </is>
      </c>
      <c r="B47" s="13" t="n">
        <v>25</v>
      </c>
      <c r="C47" s="14" t="n">
        <v>0.1</v>
      </c>
      <c r="D47" s="10" t="inlineStr">
        <is>
          <t>KT ANSVSA; runbook-uri; SLA</t>
        </is>
      </c>
      <c r="E47" s="10" t="inlineStr">
        <is>
          <t>Runbooks; SLA matrix</t>
        </is>
      </c>
    </row>
    <row r="48">
      <c r="A48" s="15" t="inlineStr">
        <is>
          <t>SUBTOTAL implementare initiala</t>
        </is>
      </c>
      <c r="B48" s="16">
        <f>SUM(B5:B47)</f>
        <v/>
      </c>
      <c r="C48" s="17">
        <f>SUMPRODUCT(B5:B47,C5:C47)/SUM(B5:B47)</f>
        <v/>
      </c>
      <c r="D48" s="15" t="inlineStr">
        <is>
          <t>Risc mediu ponderat</t>
        </is>
      </c>
      <c r="E48" s="15" t="n"/>
    </row>
    <row r="49">
      <c r="A49" s="18" t="inlineStr">
        <is>
          <t>Buffer contingency (20%)</t>
        </is>
      </c>
      <c r="B49" s="19">
        <f>ROUND(B48*0.20,0)</f>
        <v/>
      </c>
      <c r="C49" s="18" t="n"/>
      <c r="D49" s="18" t="n"/>
      <c r="E49" s="18" t="inlineStr">
        <is>
          <t>Standard proiecte gov IT</t>
        </is>
      </c>
    </row>
    <row r="50">
      <c r="A50" s="20" t="inlineStr">
        <is>
          <t>TOTAL IMPLEMENTARE + BUFFER</t>
        </is>
      </c>
      <c r="B50" s="20">
        <f>B48+B49</f>
        <v/>
      </c>
      <c r="C50" s="20" t="n"/>
      <c r="D50" s="20" t="n"/>
      <c r="E50" s="20" t="n"/>
    </row>
    <row r="52">
      <c r="A52" s="21" t="inlineStr">
        <is>
          <t>MENTENANTA + SUPORT (3 ani conform CdS)</t>
        </is>
      </c>
      <c r="B52" s="22" t="n"/>
      <c r="C52" s="22" t="n"/>
      <c r="D52" s="22" t="n"/>
      <c r="E52" s="23" t="n"/>
    </row>
    <row r="53">
      <c r="A53" s="1" t="inlineStr">
        <is>
          <t>Faza</t>
        </is>
      </c>
      <c r="B53" s="1" t="inlineStr">
        <is>
          <t>Estimat man-day</t>
        </is>
      </c>
      <c r="C53" s="1" t="inlineStr">
        <is>
          <t>Risk %</t>
        </is>
      </c>
      <c r="D53" s="1" t="inlineStr">
        <is>
          <t>Descriere risc</t>
        </is>
      </c>
      <c r="E53" s="1" t="inlineStr">
        <is>
          <t>Note / Livrabile</t>
        </is>
      </c>
    </row>
    <row r="54">
      <c r="A54" s="10" t="inlineStr">
        <is>
          <t>Mentenanta + suport L2+L3 (per AN; 3 ani CdS)</t>
        </is>
      </c>
      <c r="B54" s="13" t="n">
        <v>900</v>
      </c>
      <c r="C54" s="14" t="n">
        <v>0.25</v>
      </c>
      <c r="D54" s="10" t="inlineStr">
        <is>
          <t>Portal mare 56 servicii + 8 integrari externe + 185k useri = mentenanta substantiala; CVE-uri OWASP frecvent; APIs externe schimba periodic; modificari legislative impact servicii; SLA L2 4h + L3 escaladare; on-call 24/7 servicii tier-1</t>
        </is>
      </c>
      <c r="E54" s="10" t="inlineStr">
        <is>
          <t>BREAKDOWN/AN: ~300z corrective (56 servicii P1/P2 + fix integrari) + ~200z adaptive (compat APIs, dependinte, legislativ) + ~200z perfective + ~200z on-call SLA 24/7 servicii cu termen legal. ~4.3 FTE.</t>
        </is>
      </c>
    </row>
    <row r="55">
      <c r="A55" s="24" t="inlineStr">
        <is>
          <t>TOTAL MENTENANTA 3 ani (cumulativ)</t>
        </is>
      </c>
      <c r="B55" s="24">
        <f>B54*3</f>
        <v/>
      </c>
      <c r="C55" s="24" t="n"/>
      <c r="D55" s="24" t="n"/>
      <c r="E55" s="24" t="inlineStr">
        <is>
          <t>Conform CdS - garantie L2+L3 pe 3 ani</t>
        </is>
      </c>
    </row>
  </sheetData>
  <mergeCells count="3">
    <mergeCell ref="A2:E2"/>
    <mergeCell ref="A52:E5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2026-05-13T22:08:19Z</dcterms:created>
  <dcterms:modified xmlns:dcterms="http://purl.org/dc/terms/" xmlns:xsi="http://www.w3.org/2001/XMLSchema-instance" xsi:type="dcterms:W3CDTF">2026-05-13T22:08:19Z</dcterms:modified>
</cp:coreProperties>
</file>