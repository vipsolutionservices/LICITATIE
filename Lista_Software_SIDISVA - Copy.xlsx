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inteza" sheetId="1" state="visible" r:id="rId3"/>
    <sheet name="Cantitati explicite CdS" sheetId="2" state="visible" r:id="rId4"/>
    <sheet name="AppMobilaCetateni" sheetId="3" state="visible" r:id="rId5"/>
    <sheet name="HL7" sheetId="4" state="visible" r:id="rId6"/>
    <sheet name="Portal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<sst xmlns="http://schemas.openxmlformats.org/spreadsheetml/2006/main" count="745" uniqueCount="645">
  <si>
    <t xml:space="preserve">#</t>
  </si>
  <si>
    <t xml:space="preserve">Categorie</t>
  </si>
  <si>
    <t xml:space="preserve">Componenta software</t>
  </si>
  <si>
    <t xml:space="preserve">PagCS</t>
  </si>
  <si>
    <t xml:space="preserve">Cerinta CdS (rezumat)</t>
  </si>
  <si>
    <t xml:space="preserve">Produs recomandat (oferta)</t>
  </si>
  <si>
    <t xml:space="preserve">Alternativa</t>
  </si>
  <si>
    <t xml:space="preserve">Cantitate / Sizing</t>
  </si>
  <si>
    <t xml:space="preserve">Unitate licentiere</t>
  </si>
  <si>
    <t xml:space="preserve">Locatie implementare</t>
  </si>
  <si>
    <t xml:space="preserve">Sursa CdS (sectiune)</t>
  </si>
  <si>
    <t xml:space="preserve">Intrebari / Observatii</t>
  </si>
  <si>
    <t xml:space="preserve">A. Infrastructura SW</t>
  </si>
  <si>
    <t xml:space="preserve">Sistem de operare server (Linux)</t>
  </si>
  <si>
    <t xml:space="preserve">pg.52-53</t>
  </si>
  <si>
    <t xml:space="preserve">OS 64-bit, IPv6, cluster, COTS, suport pe Linux Enterprise; servicii neutilizate dezactivate.</t>
  </si>
  <si>
    <t xml:space="preserve">Red Hat Enterprise Linux 9 sau Oracle Linux 9</t>
  </si>
  <si>
    <t xml:space="preserve">Ubuntu Server LTS / SUSE Linux Enterprise Server</t>
  </si>
  <si>
    <t xml:space="preserve">20-30 VM-uri</t>
  </si>
  <si>
    <t xml:space="preserve">Per socket / per VM</t>
  </si>
  <si>
    <t xml:space="preserve">Cloud guvernamental (BYOL Azure Stack)</t>
  </si>
  <si>
    <t xml:space="preserve">3.4.3.2.3</t>
  </si>
  <si>
    <t xml:space="preserve">Matricea aplicatii-&gt;OS nu e specificata; dimensionam pe baza modulelor</t>
  </si>
  <si>
    <t xml:space="preserve">Sistem de operare server (Windows)</t>
  </si>
  <si>
    <t xml:space="preserve">pg.52-53; pg.101-105</t>
  </si>
  <si>
    <t xml:space="preserve">OS 64-bit, IPv6; necesar 4 instante honeypot + componente compatibile MS.</t>
  </si>
  <si>
    <t xml:space="preserve">Microsoft Windows Server 2022 Datacenter</t>
  </si>
  <si>
    <t xml:space="preserve">Windows Server 2022 Standard</t>
  </si>
  <si>
    <t xml:space="preserve">Min. 4 (honeypot) + ~6-10 VM-uri</t>
  </si>
  <si>
    <t xml:space="preserve">Per core (16-core pack) + CAL</t>
  </si>
  <si>
    <t xml:space="preserve">Cloud guvernamental + Centrul de date</t>
  </si>
  <si>
    <t xml:space="preserve">3.4.3.2.3; 3.4.3.4.1.2</t>
  </si>
  <si>
    <t xml:space="preserve">Total licente Windows Server? Propunem majoritate Linux pt. reducere cost</t>
  </si>
  <si>
    <t xml:space="preserve">Platforma web server / reverse proxy</t>
  </si>
  <si>
    <t xml:space="preserve">pg.51-52</t>
  </si>
  <si>
    <t xml:space="preserve">Cluster activ-activ, min. 16 nuclee per nod.</t>
  </si>
  <si>
    <t xml:space="preserve">NGINX Plus</t>
  </si>
  <si>
    <t xml:space="preserve">Apache HTTP Server / Microsoft IIS</t>
  </si>
  <si>
    <t xml:space="preserve">2 noduri × 16 cores</t>
  </si>
  <si>
    <t xml:space="preserve">Per instanta / per core</t>
  </si>
  <si>
    <t xml:space="preserve">Cloud guvernamental</t>
  </si>
  <si>
    <t xml:space="preserve">3.4.3.2.1</t>
  </si>
  <si>
    <t xml:space="preserve">Cluster min. 2 noduri sau 3 pt. quorum?</t>
  </si>
  <si>
    <t xml:space="preserve">Server de aplicatie (Java EE)</t>
  </si>
  <si>
    <t xml:space="preserve">pg.52</t>
  </si>
  <si>
    <t xml:space="preserve">Oracle WebLogic Server EE</t>
  </si>
  <si>
    <t xml:space="preserve">JBoss EAP / WebSphere ND / Tomcat Enterprise</t>
  </si>
  <si>
    <t xml:space="preserve">Per processor</t>
  </si>
  <si>
    <t xml:space="preserve">3.4.3.2.2</t>
  </si>
  <si>
    <t xml:space="preserve">WebLogic vs JBoss EAP? Verificat compatibilitate VOGO</t>
  </si>
  <si>
    <t xml:space="preserve">SGBD principal (RDBMS)</t>
  </si>
  <si>
    <t xml:space="preserve">pg.53-55</t>
  </si>
  <si>
    <t xml:space="preserve">COTS, Gartner Leaders, cluster activ-activ ≥2×8 cores, cache fusion, flashback, TDE, masking, ML.</t>
  </si>
  <si>
    <t xml:space="preserve">Oracle DB EE + RAC + Advanced Security + Data Masking Pack</t>
  </si>
  <si>
    <t xml:space="preserve">MSSQL EE + Always On (risc neconformitate)</t>
  </si>
  <si>
    <t xml:space="preserve">2 × 8 cores minim, recomandam 2×16</t>
  </si>
  <si>
    <t xml:space="preserve">Per processor (Oracle Core Factor)</t>
  </si>
  <si>
    <t xml:space="preserve">3.4.3.2.4</t>
  </si>
  <si>
    <t xml:space="preserve">Cache fusion = Oracle RAC. Cerem clarificare 'echivalent functional'?</t>
  </si>
  <si>
    <t xml:space="preserve">SGBD NoSQL (loguri)</t>
  </si>
  <si>
    <t xml:space="preserve">pg.110</t>
  </si>
  <si>
    <t xml:space="preserve">Stocarea log-urilor/evenimentelor NoSQL.</t>
  </si>
  <si>
    <t xml:space="preserve">Elasticsearch (Elastic Stack Enterprise)</t>
  </si>
  <si>
    <t xml:space="preserve">MongoDB Enterprise Advanced / OpenSearch</t>
  </si>
  <si>
    <t xml:space="preserve">Cluster 3 noduri</t>
  </si>
  <si>
    <t xml:space="preserve">Per nod / per GB</t>
  </si>
  <si>
    <t xml:space="preserve">3.4.3.4.1.4</t>
  </si>
  <si>
    <t xml:space="preserve">Volum loguri/zi estimat?</t>
  </si>
  <si>
    <t xml:space="preserve">Componenta ETL</t>
  </si>
  <si>
    <t xml:space="preserve">pg.55-57</t>
  </si>
  <si>
    <t xml:space="preserve">Min. 16 cores; acces la MSSQL, MySQL, Oracle, DB2, PostgreSQL.</t>
  </si>
  <si>
    <t xml:space="preserve">Oracle Data Integrator</t>
  </si>
  <si>
    <t xml:space="preserve">Informatica / Talend / SSIS</t>
  </si>
  <si>
    <t xml:space="preserve">16 cores</t>
  </si>
  <si>
    <t xml:space="preserve">3.4.3.2.5</t>
  </si>
  <si>
    <t xml:space="preserve">Cuplat cu decizia SGBD</t>
  </si>
  <si>
    <t xml:space="preserve">Componenta BI</t>
  </si>
  <si>
    <t xml:space="preserve">pg.57-59</t>
  </si>
  <si>
    <t xml:space="preserve">Acces relational + multidim + Big Data; dashboards; 50 utilizatori.</t>
  </si>
  <si>
    <t xml:space="preserve">Oracle Analytics Server</t>
  </si>
  <si>
    <t xml:space="preserve">Power BI Premium / Tableau / Qlik Sense</t>
  </si>
  <si>
    <t xml:space="preserve">50 utilizatori</t>
  </si>
  <si>
    <t xml:space="preserve">Per named user</t>
  </si>
  <si>
    <t xml:space="preserve">3.4.3.2.6</t>
  </si>
  <si>
    <t xml:space="preserve">Named vs concurrent? Interpretam named</t>
  </si>
  <si>
    <t xml:space="preserve">IAM (Identity Management)</t>
  </si>
  <si>
    <t xml:space="preserve">pg.59-60</t>
  </si>
  <si>
    <t xml:space="preserve">LDAP, OpenID, OAuth2, SAML; sincronizare timp real.</t>
  </si>
  <si>
    <t xml:space="preserve">Keycloak Enterprise</t>
  </si>
  <si>
    <t xml:space="preserve">Entra ID / Oracle IAM / ForgeRock</t>
  </si>
  <si>
    <t xml:space="preserve">~150 interni + 185k externi</t>
  </si>
  <si>
    <t xml:space="preserve">Per user / unlimited</t>
  </si>
  <si>
    <t xml:space="preserve">3.4.3.2.7</t>
  </si>
  <si>
    <t xml:space="preserve">185k cetateni se licentiaza separat?</t>
  </si>
  <si>
    <t xml:space="preserve">Sistem GIS</t>
  </si>
  <si>
    <t xml:space="preserve">pg.60-62</t>
  </si>
  <si>
    <t xml:space="preserve">Cartografiere exploatatii, locatii, animale; layere, geo-fencing.</t>
  </si>
  <si>
    <t xml:space="preserve">ESRI ArcGIS Enterprise</t>
  </si>
  <si>
    <t xml:space="preserve">GeoServer + PostGIS / Hexagon</t>
  </si>
  <si>
    <t xml:space="preserve">1 server + ~50 editori</t>
  </si>
  <si>
    <t xml:space="preserve">Per server + per named user</t>
  </si>
  <si>
    <t xml:space="preserve">3.4.3.2.8</t>
  </si>
  <si>
    <t xml:space="preserve">Cati editori GIS estimam?</t>
  </si>
  <si>
    <t xml:space="preserve">ESB / Interoperabilitate</t>
  </si>
  <si>
    <t xml:space="preserve">pg.62-65</t>
  </si>
  <si>
    <t xml:space="preserve">Cluster activ-pasiv, min. 16 cores; cozi, FTP, JMS, MQ.</t>
  </si>
  <si>
    <t xml:space="preserve">Oracle Service Bus + SOA Suite</t>
  </si>
  <si>
    <t xml:space="preserve">MuleSoft / WSO2 / Camel+Kong</t>
  </si>
  <si>
    <t xml:space="preserve">3.4.3.2.9</t>
  </si>
  <si>
    <t xml:space="preserve">Activ-pasiv vs activ-activ?</t>
  </si>
  <si>
    <t xml:space="preserve">B. Software aplicativ</t>
  </si>
  <si>
    <t xml:space="preserve">Solutie management documente (DMS)</t>
  </si>
  <si>
    <t xml:space="preserve">pg.65-83</t>
  </si>
  <si>
    <t xml:space="preserve">7 module; persistenta Oracle/MSSQL/PostgreSQL/MySQL/MariaDB; web + PWA.</t>
  </si>
  <si>
    <t xml:space="preserve">VOGO ENTERPRISE BUSINESS SUITE</t>
  </si>
  <si>
    <t xml:space="preserve">(N/A - produs propriu)</t>
  </si>
  <si>
    <t xml:space="preserve">Nelimitata utilizatori (perpetuu) + cod sursa</t>
  </si>
  <si>
    <t xml:space="preserve">Perpetuu, fara limita</t>
  </si>
  <si>
    <t xml:space="preserve">3.4.3.3.1; 3.4.3.3.4</t>
  </si>
  <si>
    <t xml:space="preserve">VOGO indeplineste cerinta</t>
  </si>
  <si>
    <t xml:space="preserve">Portal Servicii Publice (web)</t>
  </si>
  <si>
    <t xml:space="preserve">pg.83-86</t>
  </si>
  <si>
    <t xml:space="preserve">Portal cetateni/firme/medici vet; SSO; multi-lang; ROeID.</t>
  </si>
  <si>
    <t xml:space="preserve">Modul VOGO Portal (custom pe VOGO EBS)</t>
  </si>
  <si>
    <t xml:space="preserve">Liferay DXP / Drupal Enterprise</t>
  </si>
  <si>
    <t xml:space="preserve">Nelimitat (185k useri)</t>
  </si>
  <si>
    <t xml:space="preserve">3.4.3.3.2; 3.5</t>
  </si>
  <si>
    <t xml:space="preserve">Vezi sheet Portal pt. estimare efort</t>
  </si>
  <si>
    <t xml:space="preserve">Chatbot / asistent virtual</t>
  </si>
  <si>
    <t xml:space="preserve">pg.86-87</t>
  </si>
  <si>
    <t xml:space="preserve">NLP RO; auto-raspuns; escaladare la operator.</t>
  </si>
  <si>
    <t xml:space="preserve">Rasa Open Source / MS Bot Framework</t>
  </si>
  <si>
    <t xml:space="preserve">Dialogflow CX / Watson Assistant / Tovie</t>
  </si>
  <si>
    <t xml:space="preserve">1 instanta + nelimitat conversatii</t>
  </si>
  <si>
    <t xml:space="preserve">Per instanta / per intent</t>
  </si>
  <si>
    <t xml:space="preserve">3.4.3.3.2.1</t>
  </si>
  <si>
    <t xml:space="preserve">Limba RO + domeniu veterinar; min. 50 intents kickoff?</t>
  </si>
  <si>
    <t xml:space="preserve">Aplicatie mobila cetateni</t>
  </si>
  <si>
    <t xml:space="preserve">pg.87-88</t>
  </si>
  <si>
    <t xml:space="preserve">PWA + nativ iOS + Android; raportare animale salbatice; GPS; foto.</t>
  </si>
  <si>
    <t xml:space="preserve">Nativ iOS (Swift) + Android (Kotlin) + PWA</t>
  </si>
  <si>
    <t xml:space="preserve">Flutter / React Native / Ionic</t>
  </si>
  <si>
    <t xml:space="preserve">Publicare Play + 99$/an Apple</t>
  </si>
  <si>
    <t xml:space="preserve">Free + 99$/an Apple</t>
  </si>
  <si>
    <t xml:space="preserve">Magazine app (Play/App Store)</t>
  </si>
  <si>
    <t xml:space="preserve">3.4.3.3.2.2; 3.4.2.11</t>
  </si>
  <si>
    <t xml:space="preserve">Vezi sheet AppMobilaCetateni pt. estimare efort</t>
  </si>
  <si>
    <t xml:space="preserve">LIMS</t>
  </si>
  <si>
    <t xml:space="preserve">pg.88-94</t>
  </si>
  <si>
    <t xml:space="preserve">Cereri analize cod bare; HL7; trasabilitate probe; subesantioane.</t>
  </si>
  <si>
    <t xml:space="preserve">Custom dezvoltat VOGO TECHNOLOGY</t>
  </si>
  <si>
    <t xml:space="preserve">Modulo LIMS / STARLIMS / LabWare</t>
  </si>
  <si>
    <t xml:space="preserve">Nelimitat useri + cod sursa</t>
  </si>
  <si>
    <t xml:space="preserve">Cloud guv. + 3 institute + 42 lab DSVSA</t>
  </si>
  <si>
    <t xml:space="preserve">3.4.3.3.3</t>
  </si>
  <si>
    <t xml:space="preserve">Cerinta CdS line 1657: perpetuu + cod sursa. Dezvoltam in-house</t>
  </si>
  <si>
    <t xml:space="preserve">Sistem interoperabilitate HL7</t>
  </si>
  <si>
    <t xml:space="preserve">pg.94-96</t>
  </si>
  <si>
    <t xml:space="preserve">Gateway BD relationala ↔ HL7; ADT, ORM, ORU; configurabil.</t>
  </si>
  <si>
    <t xml:space="preserve">Mirth Connect / NextGen Connect</t>
  </si>
  <si>
    <t xml:space="preserve">InterSystems / Iguana / Corepoint</t>
  </si>
  <si>
    <t xml:space="preserve">1 instanta</t>
  </si>
  <si>
    <t xml:space="preserve">Per instanta</t>
  </si>
  <si>
    <t xml:space="preserve">3.4.3.3.3.2</t>
  </si>
  <si>
    <t xml:space="preserve">Vezi sheet HL7 pt. estimare efort</t>
  </si>
  <si>
    <t xml:space="preserve">C. Securitate (appliance SW)</t>
  </si>
  <si>
    <t xml:space="preserve">WAF</t>
  </si>
  <si>
    <t xml:space="preserve">pg.98-101</t>
  </si>
  <si>
    <t xml:space="preserve">Appliance virtual; OWASP Top 10; DoS app-layer.</t>
  </si>
  <si>
    <t xml:space="preserve">F5 Advanced WAF / Imperva / FortiWeb</t>
  </si>
  <si>
    <t xml:space="preserve">Cloudflare WAF / Akamai Kona</t>
  </si>
  <si>
    <t xml:space="preserve">2 buc.</t>
  </si>
  <si>
    <t xml:space="preserve">Per appliance + 3 ani updates</t>
  </si>
  <si>
    <t xml:space="preserve">Centrul de date</t>
  </si>
  <si>
    <t xml:space="preserve">3.4.3.4.1.1</t>
  </si>
  <si>
    <t xml:space="preserve">Cluster activ-activ pt. HA</t>
  </si>
  <si>
    <t xml:space="preserve">Honeypot</t>
  </si>
  <si>
    <t xml:space="preserve">pg.101-105</t>
  </si>
  <si>
    <t xml:space="preserve">4 instante Windows × 4 vCPU; Anti-Reconnaissance.</t>
  </si>
  <si>
    <t xml:space="preserve">Fortinet FortiDeceptor</t>
  </si>
  <si>
    <t xml:space="preserve">SentinelOne Singularity / TrapX</t>
  </si>
  <si>
    <t xml:space="preserve">1 buc. + 4 Windows Server</t>
  </si>
  <si>
    <t xml:space="preserve">Per appliance + 4× Windows</t>
  </si>
  <si>
    <t xml:space="preserve">3.4.3.4.1.2</t>
  </si>
  <si>
    <t xml:space="preserve">Cele 4 Windows incluse in produs sau separat?</t>
  </si>
  <si>
    <t xml:space="preserve">Network Management (NMS/NAC)</t>
  </si>
  <si>
    <t xml:space="preserve">pg.105-108</t>
  </si>
  <si>
    <t xml:space="preserve">Min. 600 echipamente; descoperire SNMP/WMI/VM.</t>
  </si>
  <si>
    <t xml:space="preserve">Cisco DNA Center / Aruba ClearPass</t>
  </si>
  <si>
    <t xml:space="preserve">FortiNAC / Extreme Networks</t>
  </si>
  <si>
    <t xml:space="preserve">1 + licenta 600 echipamente</t>
  </si>
  <si>
    <t xml:space="preserve">Per appliance + per device</t>
  </si>
  <si>
    <t xml:space="preserve">3.4.3.4.1.3</t>
  </si>
  <si>
    <t xml:space="preserve">Avem ~620 echipamente totale. Marginal vs 600</t>
  </si>
  <si>
    <t xml:space="preserve">SIEM</t>
  </si>
  <si>
    <t xml:space="preserve">pg.108-113</t>
  </si>
  <si>
    <t xml:space="preserve">NoSQL log; corelare; IOC 3 ani; alerte.</t>
  </si>
  <si>
    <t xml:space="preserve">Splunk ES / IBM QRadar</t>
  </si>
  <si>
    <t xml:space="preserve">Wazuh + Elastic / Microsoft Sentinel</t>
  </si>
  <si>
    <t xml:space="preserve">1 cluster + 3 ani updates</t>
  </si>
  <si>
    <t xml:space="preserve">Per GB/zi</t>
  </si>
  <si>
    <t xml:space="preserve">Volum log-uri/zi determinant pt. cost</t>
  </si>
  <si>
    <t xml:space="preserve">Email Security Gateway</t>
  </si>
  <si>
    <t xml:space="preserve">pg.113-118</t>
  </si>
  <si>
    <t xml:space="preserve">Filtrare mesagerie; sandbox cloud.</t>
  </si>
  <si>
    <t xml:space="preserve">Cisco IronPort ESA</t>
  </si>
  <si>
    <t xml:space="preserve">Proofpoint / Barracuda / FortiMail</t>
  </si>
  <si>
    <t xml:space="preserve">Per appliance + per mailbox</t>
  </si>
  <si>
    <t xml:space="preserve">3.4.3.4.1.5</t>
  </si>
  <si>
    <t xml:space="preserve">Ce nr. mailbox? ~1000-1500 estimat</t>
  </si>
  <si>
    <t xml:space="preserve">NGFW centru ANSVSA</t>
  </si>
  <si>
    <t xml:space="preserve">pg.118-127</t>
  </si>
  <si>
    <t xml:space="preserve">NGFW redundant; min. 10 VDOM; single-vendor HW+OS+licente.</t>
  </si>
  <si>
    <t xml:space="preserve">Fortinet FortiGate / Palo Alto PA-Series</t>
  </si>
  <si>
    <t xml:space="preserve">Cisco Firepower / Check Point</t>
  </si>
  <si>
    <t xml:space="preserve">Per appliance + 10 VDOM</t>
  </si>
  <si>
    <t xml:space="preserve">Centrul ANSVSA Bucuresti</t>
  </si>
  <si>
    <t xml:space="preserve">3.4.3.4.2.1.1</t>
  </si>
  <si>
    <t xml:space="preserve">Single-vendor obligatoriu pe linia 2431</t>
  </si>
  <si>
    <t xml:space="preserve">NGFW locatii subordonate</t>
  </si>
  <si>
    <t xml:space="preserve">pg.127-131</t>
  </si>
  <si>
    <t xml:space="preserve">NGFW redundant DSVSA + institute; 10 VDOM/loc.</t>
  </si>
  <si>
    <t xml:space="preserve">Fortinet FortiGate 100F/200F</t>
  </si>
  <si>
    <t xml:space="preserve">Palo Alto PA-440 / Check Point Quantum</t>
  </si>
  <si>
    <t xml:space="preserve">90 buc. (45 loc × 2)</t>
  </si>
  <si>
    <t xml:space="preserve">Per appliance + 3 ani semnaturi</t>
  </si>
  <si>
    <t xml:space="preserve">DSVSA + Institute</t>
  </si>
  <si>
    <t xml:space="preserve">3.4.3.4.2.1.2</t>
  </si>
  <si>
    <t xml:space="preserve">45 × 2 = 90 (match cu line 4150)</t>
  </si>
  <si>
    <t xml:space="preserve">D. Productivity / Client</t>
  </si>
  <si>
    <t xml:space="preserve">Microsoft Office (laptopuri)</t>
  </si>
  <si>
    <t xml:space="preserve">pg.144-145</t>
  </si>
  <si>
    <t xml:space="preserve">Office Home &amp; Business sau echivalent, perpetuu preinstalat.</t>
  </si>
  <si>
    <t xml:space="preserve">MS Office Home &amp; Business 2024 OEM</t>
  </si>
  <si>
    <t xml:space="preserve">LibreOffice (echivalent)</t>
  </si>
  <si>
    <t xml:space="preserve">100 buc.</t>
  </si>
  <si>
    <t xml:space="preserve">Per device (OEM perpetuu)</t>
  </si>
  <si>
    <t xml:space="preserve">ANSVSA</t>
  </si>
  <si>
    <t xml:space="preserve">3.4.3.4.2.6</t>
  </si>
  <si>
    <t xml:space="preserve">CdS spune 'sau echivalent'. Recomandam Office original</t>
  </si>
  <si>
    <t xml:space="preserve">Microsoft Office (complete teren)</t>
  </si>
  <si>
    <t xml:space="preserve">pg.145-147</t>
  </si>
  <si>
    <t xml:space="preserve">Office Home &amp; Business preinstalat pe complete teren.</t>
  </si>
  <si>
    <t xml:space="preserve">LibreOffice</t>
  </si>
  <si>
    <t xml:space="preserve">336 buc. (8 × 42 DSVSA)</t>
  </si>
  <si>
    <t xml:space="preserve">DSVSA (control teren)</t>
  </si>
  <si>
    <t xml:space="preserve">3.4.3.4.2.7</t>
  </si>
  <si>
    <t xml:space="preserve">TOTAL Office = 436 licente</t>
  </si>
  <si>
    <t xml:space="preserve">Antivirus / Endpoint Protection</t>
  </si>
  <si>
    <t xml:space="preserve">n/a</t>
  </si>
  <si>
    <t xml:space="preserve">Implicit pt. endpoint security; nu explicit in CdS.</t>
  </si>
  <si>
    <t xml:space="preserve">CrowdStrike Falcon / SentinelOne</t>
  </si>
  <si>
    <t xml:space="preserve">ESET PROTECT / Bitdefender GravityZone</t>
  </si>
  <si>
    <t xml:space="preserve">436 endpoints + ~50 servere</t>
  </si>
  <si>
    <t xml:space="preserve">Per endpoint (subscription)</t>
  </si>
  <si>
    <t xml:space="preserve">ANSVSA + DSVSA</t>
  </si>
  <si>
    <t xml:space="preserve">Implicit</t>
  </si>
  <si>
    <t xml:space="preserve">Decizie comerciala - includem sau nu?</t>
  </si>
  <si>
    <t xml:space="preserve">Componenta</t>
  </si>
  <si>
    <t xml:space="preserve">Cantitate / Limita</t>
  </si>
  <si>
    <t xml:space="preserve">Unitate</t>
  </si>
  <si>
    <t xml:space="preserve">Sursa CdS</t>
  </si>
  <si>
    <t xml:space="preserve">Citat exact</t>
  </si>
  <si>
    <t xml:space="preserve">Web server platforma</t>
  </si>
  <si>
    <t xml:space="preserve">16 nuclee per nod</t>
  </si>
  <si>
    <t xml:space="preserve">cores/nod</t>
  </si>
  <si>
    <t xml:space="preserve">3.4.3.2.1 (pg.51-52)</t>
  </si>
  <si>
    <t xml:space="preserve">platforma server web ... cluster, cu cel putin 16 nuclee de procesare per nod</t>
  </si>
  <si>
    <t xml:space="preserve">Server aplicatie</t>
  </si>
  <si>
    <t xml:space="preserve">16 nuclee per nod, cluster activ-activ</t>
  </si>
  <si>
    <t xml:space="preserve">3.4.3.2.2 (pg.52)</t>
  </si>
  <si>
    <t xml:space="preserve">cluster, cu cel putin 16 nuclee de procesare per nod</t>
  </si>
  <si>
    <t xml:space="preserve">SGBD (DB)</t>
  </si>
  <si>
    <t xml:space="preserve">Min. 2 noduri × 8 cores = 16 cores</t>
  </si>
  <si>
    <t xml:space="preserve">noduri/cores</t>
  </si>
  <si>
    <t xml:space="preserve">3.4.3.2.4 (pg.54)</t>
  </si>
  <si>
    <t xml:space="preserve">cel putin 2 noduri distincte, fiecare nod cu minim 8 nuclee de procesare</t>
  </si>
  <si>
    <t xml:space="preserve">ETL</t>
  </si>
  <si>
    <t xml:space="preserve">cores</t>
  </si>
  <si>
    <t xml:space="preserve">3.4.3.2.5 (pg.57)</t>
  </si>
  <si>
    <t xml:space="preserve">solutia trebuie sa fie dimensionata pentru minim 16 nuclee de procesare</t>
  </si>
  <si>
    <t xml:space="preserve">BI / Raportare avansata</t>
  </si>
  <si>
    <t xml:space="preserve">named users</t>
  </si>
  <si>
    <t xml:space="preserve">3.4.3.2.6 (pg.57)</t>
  </si>
  <si>
    <t xml:space="preserve">50 de utilizatori ce vor avea acces la aceasta componenta, solutia trebuind sa fie licentiata pentru acest numar de utilizatori</t>
  </si>
  <si>
    <t xml:space="preserve">16 cores per nod, cluster activ-pasiv</t>
  </si>
  <si>
    <t xml:space="preserve">3.4.3.2.9 (pg.64)</t>
  </si>
  <si>
    <t xml:space="preserve">cluster activ-pasiv ... cu cel putin 16 nuclee de procesare per nod</t>
  </si>
  <si>
    <t xml:space="preserve">NELIMITAT useri, perpetuu + 3 ani suport L2+L3</t>
  </si>
  <si>
    <t xml:space="preserve">users</t>
  </si>
  <si>
    <t xml:space="preserve">3.4.3.3.3 (pg.93)</t>
  </si>
  <si>
    <t xml:space="preserve">licenta perpetua pentru un numar nelimitat de utilizatori ... suport tehnic nivel 2 si nivel 3 pentru 3 ani</t>
  </si>
  <si>
    <t xml:space="preserve">SW aplicative (toate)</t>
  </si>
  <si>
    <t xml:space="preserve">Licente perpetue + cod sursa integral</t>
  </si>
  <si>
    <t xml:space="preserve">—</t>
  </si>
  <si>
    <t xml:space="preserve">3.4.3.3.4 (pg.96)</t>
  </si>
  <si>
    <t xml:space="preserve">licente de tip perpetuu, precum si codul sursa al acestora in integralitatea sa</t>
  </si>
  <si>
    <t xml:space="preserve">NU se licentiaza per nr. utilizatori</t>
  </si>
  <si>
    <t xml:space="preserve">3.4.3.4.1.1 (pg.100)</t>
  </si>
  <si>
    <t xml:space="preserve">Sistemul nu trebuie licentiat per numar de utilizatori</t>
  </si>
  <si>
    <t xml:space="preserve">4 instante Windows Server × 4 vCPU</t>
  </si>
  <si>
    <t xml:space="preserve">instante</t>
  </si>
  <si>
    <t xml:space="preserve">3.4.3.4.1.2 (pg.105)</t>
  </si>
  <si>
    <t xml:space="preserve">4 instante capcana ... Windows Server, fiecare capcana ... minim 4 core-uri virtuale</t>
  </si>
  <si>
    <t xml:space="preserve">NMS</t>
  </si>
  <si>
    <t xml:space="preserve">Min. 600 echipamente administrate licentiat</t>
  </si>
  <si>
    <t xml:space="preserve">devices</t>
  </si>
  <si>
    <t xml:space="preserve">3.4.3.4.1.3 (pg.108)</t>
  </si>
  <si>
    <t xml:space="preserve">Numar minim de echipamente administrate in mod licentiat: 600</t>
  </si>
  <si>
    <t xml:space="preserve">Min. 10 instante virtuale</t>
  </si>
  <si>
    <t xml:space="preserve">VDOM/VM</t>
  </si>
  <si>
    <t xml:space="preserve">3.4.3.4.2.1.1 (pg.122)</t>
  </si>
  <si>
    <t xml:space="preserve">Instante virtuale licentiate: minim 10</t>
  </si>
  <si>
    <t xml:space="preserve">Min. 10 instante virtuale per echipament</t>
  </si>
  <si>
    <t xml:space="preserve">3.4.3.4.2.1.2 (pg.130)</t>
  </si>
  <si>
    <t xml:space="preserve">Licenta pentru 10 instante virtuale</t>
  </si>
  <si>
    <t xml:space="preserve">Laptop ANSVSA</t>
  </si>
  <si>
    <t xml:space="preserve">100 buc. Office perpetuu</t>
  </si>
  <si>
    <t xml:space="preserve">device</t>
  </si>
  <si>
    <t xml:space="preserve">3.4.3.4.2.6 (pg.144)</t>
  </si>
  <si>
    <t xml:space="preserve">100 de laptopuri ... Microsoft Office Home &amp; Business sau echivalent preinstalat, licenta perpetua</t>
  </si>
  <si>
    <t xml:space="preserve">Complete teren DSVSA</t>
  </si>
  <si>
    <t xml:space="preserve">336 buc. (8/DSVSA × 42) Office perpetuu</t>
  </si>
  <si>
    <t xml:space="preserve">3.4.3.4.2.7 (pg.145)</t>
  </si>
  <si>
    <t xml:space="preserve">8 in fiecare DSVSA ... Microsoft Office Home &amp; Business sau echivalent preinstalat, licenta perpetua</t>
  </si>
  <si>
    <t xml:space="preserve">Institutii beneficiare</t>
  </si>
  <si>
    <t xml:space="preserve">46 institutii</t>
  </si>
  <si>
    <t xml:space="preserve">3.5 (pg.162)</t>
  </si>
  <si>
    <t xml:space="preserve">46 institutii publice ... (ANSVSA + 42 directii + 3 institute)</t>
  </si>
  <si>
    <t xml:space="preserve">Utilizatori portal</t>
  </si>
  <si>
    <t xml:space="preserve">185.000/an</t>
  </si>
  <si>
    <t xml:space="preserve">useri</t>
  </si>
  <si>
    <t xml:space="preserve">185.000 utilizatori de servicii publice digitale noi si optimizate/an</t>
  </si>
  <si>
    <t xml:space="preserve">Servicii electronice</t>
  </si>
  <si>
    <t xml:space="preserve">56 servicii</t>
  </si>
  <si>
    <t xml:space="preserve">3.5</t>
  </si>
  <si>
    <t xml:space="preserve">56 de servicii electronice publice</t>
  </si>
  <si>
    <t xml:space="preserve">Utilizatori instruiti</t>
  </si>
  <si>
    <t xml:space="preserve">144 useri cheie + 3 administratori</t>
  </si>
  <si>
    <t xml:space="preserve">144 de utilizatori ... 3 administratori</t>
  </si>
  <si>
    <t xml:space="preserve">BYOL Azure Stack</t>
  </si>
  <si>
    <t xml:space="preserve">TOATE licentele COTS BYOL</t>
  </si>
  <si>
    <t xml:space="preserve">3.4.3.1 (pg.49)</t>
  </si>
  <si>
    <t xml:space="preserve">Licentele de tip COTS ... in regim Bring Your Own License (BYOL)</t>
  </si>
  <si>
    <t xml:space="preserve">VALOARE TOTALA PROIECT</t>
  </si>
  <si>
    <t xml:space="preserve">95.271.200,60 RON (fara TVA)</t>
  </si>
  <si>
    <t xml:space="preserve">RON</t>
  </si>
  <si>
    <t xml:space="preserve">Anexa propunere financiara</t>
  </si>
  <si>
    <t xml:space="preserve">Val totala eligibila finantata a intregului proiect</t>
  </si>
  <si>
    <t xml:space="preserve">Bugetul ECHIPAMENTE</t>
  </si>
  <si>
    <t xml:space="preserve">Max 20% = 19.054.240,12 RON</t>
  </si>
  <si>
    <t xml:space="preserve">Echipamente: maxim 20% din valoarea finantata</t>
  </si>
  <si>
    <t xml:space="preserve">Bugetul SECURITATE</t>
  </si>
  <si>
    <t xml:space="preserve">Min 10% = 9.527.120,06 RON</t>
  </si>
  <si>
    <t xml:space="preserve">Securitate: minim 10% din valoarea finantata</t>
  </si>
  <si>
    <t xml:space="preserve">Estimare efort - Aplicatie mobila cetateni (3.4.3.3.2.2, pg.87-88 CdS) - VERSIUNE REALISTA</t>
  </si>
  <si>
    <t xml:space="preserve">Scope: Nativ iOS (Swift) + Android (Kotlin) + PWA companion; raportare animale salbatice; GPS; camera; offline-first; auth ROeID; push notifications; A11y WCAG 2.1 AA; OWASP MASVS L1; publicare stores; 3 ani garantie.</t>
  </si>
  <si>
    <t xml:space="preserve">Buget alocat estimat: 1.5-3.0% din valoarea proiectului (95,271,201 RON fara TVA) = 1,429,068 - 2,858,136 RON. Tarif blended servicii senior IT: 4,500 RON/zi (PM + dev + QA mix, incl. costuri indirecte si marja).</t>
  </si>
  <si>
    <t xml:space="preserve">Faza</t>
  </si>
  <si>
    <t xml:space="preserve">Estimat man-day</t>
  </si>
  <si>
    <t xml:space="preserve">Cost (RON)</t>
  </si>
  <si>
    <t xml:space="preserve">Risk %</t>
  </si>
  <si>
    <t xml:space="preserve">Descriere risc</t>
  </si>
  <si>
    <t xml:space="preserve">Note / Livrabile</t>
  </si>
  <si>
    <t xml:space="preserve">1. Analiza cerinte business + workshop-uri stakeholderi</t>
  </si>
  <si>
    <t xml:space="preserve">Multiple stakeholders (ANSVSA + DSVSA + medici vet); flow-uri detaliate lipsesc in CdS; intensiv pe interviuri si user research; ne asteptam la min. 5-7 workshop-uri</t>
  </si>
  <si>
    <t xml:space="preserve">User stories detaliate; persona-uri; journey maps; backlog prioritizat</t>
  </si>
  <si>
    <t xml:space="preserve">2. UX research + wireframes Lo-Fi</t>
  </si>
  <si>
    <t xml:space="preserve">Material 3 (Android) + iOS HIG + WCAG 2.1 AA accessibility; min. 3-4 iteratii cu beneficiar; risc rework dupa testare cu utilizatori</t>
  </si>
  <si>
    <t xml:space="preserve">Wireframes Figma; arborescent navigare; test moderat cu 5-8 utilizatori</t>
  </si>
  <si>
    <t xml:space="preserve">3. UI design Hi-Fi + design system + assets brand</t>
  </si>
  <si>
    <t xml:space="preserve">Atomic design (atoms/molecules/organisms); icon set custom veterinary; alignment cu brand ANSVSA; 30+ ecrane unice</t>
  </si>
  <si>
    <t xml:space="preserve">Figma library complet; assets export iOS/Android/PWA; design tokens; prototype clickable</t>
  </si>
  <si>
    <t xml:space="preserve">4. Arhitectura tehnica + ADR + setup proiect</t>
  </si>
  <si>
    <t xml:space="preserve">Decizie cheie: nativ pur (Swift+Kotlin) vs hibrid (React Native/Flutter); CdS impune NATIV - alegem nativ; setup repo 3 platforme, CI/CD Fastlane, certificate signing</t>
  </si>
  <si>
    <t xml:space="preserve">ADR-uri arhitectura; setup repo; pipeline build iOS/Android/PWA; Apple Dev Account + Google Play Console</t>
  </si>
  <si>
    <t xml:space="preserve">5. Dezvoltare iOS nativ (Swift + SwiftUI) - 30+ ecrane</t>
  </si>
  <si>
    <t xml:space="preserve">Navigare, state mgmt (Combine/SwiftUI), persistenta CoreData, networking URLSession, theming dark/light; testing pe iOS 16/17/18</t>
  </si>
  <si>
    <t xml:space="preserve">Build IPA semnat; TestFlight beta; coverage unit &gt; 70%</t>
  </si>
  <si>
    <t xml:space="preserve">6. Dezvoltare Android nativ (Kotlin + Jetpack Compose) - 30+ ecrane</t>
  </si>
  <si>
    <t xml:space="preserve">Navigation, ViewModel, Room/DataStore, Retrofit, Material 3; testing pe Android 11-15 + fragmentare ecran</t>
  </si>
  <si>
    <t xml:space="preserve">Build APK/AAB semnat; Internal Track beta; coverage unit &gt; 70%</t>
  </si>
  <si>
    <t xml:space="preserve">7. Dezvoltare PWA web companion</t>
  </si>
  <si>
    <t xml:space="preserve">Service workers, offline cache, web push, install manifest, app-like UX; Lighthouse score &gt; 90</t>
  </si>
  <si>
    <t xml:space="preserve">PWA installabila; manifest valid; offline-first read; push web</t>
  </si>
  <si>
    <t xml:space="preserve">8. Integrare GPS + harta + offline tiles</t>
  </si>
  <si>
    <t xml:space="preserve">MapKit iOS / Google Maps Android / Leaflet PWA; offline tiles RO; geocoding reverse pt. adresa locatie raportare; cost API Google Maps (per request) risca depasire buget</t>
  </si>
  <si>
    <t xml:space="preserve">Modul harta common; cache tiles; geocoding service</t>
  </si>
  <si>
    <t xml:space="preserve">9. Modul camera + foto + EXIF + procesare</t>
  </si>
  <si>
    <t xml:space="preserve">Captura nativa, compresie, watermark timestamp + geo, EXIF preservation, upload chunked cu retry</t>
  </si>
  <si>
    <t xml:space="preserve">Modul foto common; max 5 foto/raportare; sub-200KB upload</t>
  </si>
  <si>
    <t xml:space="preserve">10. Push notifications (APNs + FCM + web push)</t>
  </si>
  <si>
    <t xml:space="preserve">Server-side scheduling, deep linking, segmentare cetatean/DSVSA, opt-in/opt-out granular</t>
  </si>
  <si>
    <t xml:space="preserve">Backend OneSignal/Firebase; topics; templating multi-language</t>
  </si>
  <si>
    <t xml:space="preserve">11. Autentificare + ROeID integrare mobile</t>
  </si>
  <si>
    <t xml:space="preserve">ROeID are documentatie limitata pe mobile (vs web); biometric (Face/Touch ID) + secure keystore; risc inalt de rework daca ROeID API se schimba in cursul proiectului</t>
  </si>
  <si>
    <t xml:space="preserve">Auth flow ROeID nativ; fallback parola; refresh token rotation; secure storage Keychain/Keystore</t>
  </si>
  <si>
    <t xml:space="preserve">12. Integrare API backend (BND-SNIIA + Portal + integrari externe)</t>
  </si>
  <si>
    <t xml:space="preserve">API client SDK, error handling, retry exponential, paginare, validare schema; dependinta de stabilitatea backend in dezvoltare paralela (mock-uri necesare)</t>
  </si>
  <si>
    <t xml:space="preserve">SDK API client; error mapping; offline queue pt. write operations</t>
  </si>
  <si>
    <t xml:space="preserve">13. Modul offline-first + sync queue + conflict resolution</t>
  </si>
  <si>
    <t xml:space="preserve">Cetateni cu conectivitate intermitenta (rural); raportari trimise offline care sync ulterior; conflict resolution last-write-wins sau merge</t>
  </si>
  <si>
    <t xml:space="preserve">Queue persistenta locala; background sync (WorkManager/BackgroundTasks); UI feedback sync status</t>
  </si>
  <si>
    <t xml:space="preserve">14. Localizare RO + i18n framework</t>
  </si>
  <si>
    <t xml:space="preserve">Strings RO + EN (pt. medici vet straini); date/number formats; risc de strings hardcoded in cod legacy</t>
  </si>
  <si>
    <t xml:space="preserve">i18n strings; pluralizare RO; format date/numere</t>
  </si>
  <si>
    <t xml:space="preserve">15. Accesibilitate WCAG 2.1 AA implementation</t>
  </si>
  <si>
    <t xml:space="preserve">Screen readers (VoiceOver iOS, TalkBack Android, NVDA PWA); focus management; color contrast min 4.5:1; font scaling 200%; navigatie tastatura PWA</t>
  </si>
  <si>
    <t xml:space="preserve">A11y compliant; raport audit; remediere</t>
  </si>
  <si>
    <t xml:space="preserve">16. Securitate mobile (OWASP MASVS L1)</t>
  </si>
  <si>
    <t xml:space="preserve">Cert pinning, jailbreak/root detection, secure storage Keychain/Keystore, ofuscare cod, anti-debugging, secure logging (no PII in logs)</t>
  </si>
  <si>
    <t xml:space="preserve">Security controls OWASP MASVS L1; raport audit intern</t>
  </si>
  <si>
    <t xml:space="preserve">17. Testare unit + integration</t>
  </si>
  <si>
    <t xml:space="preserve">JUnit/XCTest, mock-uri retea, coverage &gt; 70%; testing pe simulator + device fizic</t>
  </si>
  <si>
    <t xml:space="preserve">Coverage report; CI gate</t>
  </si>
  <si>
    <t xml:space="preserve">18. Testare E2E (Maestro / Appium / Detox)</t>
  </si>
  <si>
    <t xml:space="preserve">Critical user journeys: login -&gt; raportare -&gt; upload foto -&gt; sync; cross-platform tests</t>
  </si>
  <si>
    <t xml:space="preserve">Test suite E2E; rulare in CI; raport per build</t>
  </si>
  <si>
    <t xml:space="preserve">19. Manual QA pe device fizic (8-10 device-uri)</t>
  </si>
  <si>
    <t xml:space="preserve">Real device farm: 4 iOS (12 mini, 13, 14 Pro, 15 Plus) + 6 Android (Samsung A/S, Xiaomi, Huawei, low-end RO ~700 RON) + tablet test</t>
  </si>
  <si>
    <t xml:space="preserve">Device matrix; defect log; regression suite</t>
  </si>
  <si>
    <t xml:space="preserve">20. Pentest mobil extern + remediere</t>
  </si>
  <si>
    <t xml:space="preserve">Audit extern OWASP MASVS L1; remediere obligatorie (re-test); 2 cicluri pentest tipic; risc gasit defecte critice care impun re-arhitectura</t>
  </si>
  <si>
    <t xml:space="preserve">Raport pentest; remediere; re-test pass</t>
  </si>
  <si>
    <t xml:space="preserve">21. Publicare Apple App Store + Google Play + Magazin RO</t>
  </si>
  <si>
    <t xml:space="preserve">Apple review POATE RESPINGE pentru apps gov (politici stricte permisiuni, location always, push notifications); 3-5 cicluri review tipic; necesar cont Apple Dev pe ANSVSA cu DUNS number; Magazin RO optional</t>
  </si>
  <si>
    <t xml:space="preserve">Listing assets RO+EN; screenshots in 5 dimensiuni; privacy policy; review submission; remediation iterations</t>
  </si>
  <si>
    <t xml:space="preserve">22. Documentatie tehnica + user guide (RO + EN)</t>
  </si>
  <si>
    <t xml:space="preserve">Manual utilizator RO+EN; admin guide pentru notificari push; release notes per versiune</t>
  </si>
  <si>
    <t xml:space="preserve">Manual PDF 30-40 pag; in-app help; video tutorial 3-5 min</t>
  </si>
  <si>
    <t xml:space="preserve">23. Materiale instruire utilizatori cheie + medici vet (parte din 3.4.4.9)</t>
  </si>
  <si>
    <t xml:space="preserve">Curs scurt pentru DSVSA + medici vet care vor instrui cetatenii; component din serviciile de instruire CdS</t>
  </si>
  <si>
    <t xml:space="preserve">Slide deck PPT; ghid trainer; demo live</t>
  </si>
  <si>
    <t xml:space="preserve">24. UAT cu ANSVSA + DSVSA + medici veterinari + cetateni invitati</t>
  </si>
  <si>
    <t xml:space="preserve">Multi-stakeholder UAT 2-3 saptamani; defect tracking; remediere P1/P2 obligatorie; sign-off formal</t>
  </si>
  <si>
    <t xml:space="preserve">UAT plan; defect log; sign-off matrix</t>
  </si>
  <si>
    <t xml:space="preserve">25. Go-live + hyper-care 2 saptamani</t>
  </si>
  <si>
    <t xml:space="preserve">Production deploy backend; activare push real; monitoring Sentry/Crashlytics; on-call rotation 24/7 prima saptamana, 12/5 a 2-a</t>
  </si>
  <si>
    <t xml:space="preserve">Production release; monitoring activ; on-call schedule; incident response plan</t>
  </si>
  <si>
    <t xml:space="preserve">26. Mentenanta + suport 3 ani (per an, NU inclus in total)</t>
  </si>
  <si>
    <t xml:space="preserve">iOS+Android lanseaza versiuni majore anual; deprecari SDK; politici stores schimba; bug fixes; security patches obligatorii; estimat 110 man-days/an = 1 dev part-time + on-call</t>
  </si>
  <si>
    <t xml:space="preserve">Bug fixes; compat noi OS; security patches; refresh dependinte; SLA L2+L3</t>
  </si>
  <si>
    <t xml:space="preserve">SUBTOTAL implementare initiala (fara mentenanta)</t>
  </si>
  <si>
    <t xml:space="preserve">Risc mediu ponderat pe man-days</t>
  </si>
  <si>
    <t xml:space="preserve">NU include ultima linie (mentenanta/an)</t>
  </si>
  <si>
    <t xml:space="preserve">Buffer contingency (20% - recomandat pt. risc ridicat)</t>
  </si>
  <si>
    <t xml:space="preserve">Industry standard pt. proiecte gov IT</t>
  </si>
  <si>
    <t xml:space="preserve">TOTAL IMPLEMENTARE INITIALA + BUFFER</t>
  </si>
  <si>
    <t xml:space="preserve">Comparatie cu bugetul alocat (1,429,068 - 2,858,136 RON)</t>
  </si>
  <si>
    <t xml:space="preserve">Estimare efort - Sistem interoperabilitate HL7 gateway LIMS (3.4.3.3.3.2, pg.94-96 CdS) - VERSIUNE REALISTA</t>
  </si>
  <si>
    <t xml:space="preserve">Scope: Gateway HA intre BD relationala si LIMS-uri externe; mesaje ADT, ORM, ORU, MDM, ACK; mTLS + MLLP; queue + retry + DLQ; integrare 3 institute LIMS reale (IDSA, IISPV, ICBMV); audit GDPR sanitar; backup/restore; performance 1000+ msg/sec; 3 ani garantie.</t>
  </si>
  <si>
    <t xml:space="preserve">Buget alocat estimat: 0.8-1.5% din valoarea proiectului (95,271,201 RON fara TVA) = 762,170 - 1,429,068 RON. Tarif blended servicii senior IT: 4,500 RON/zi (PM + dev + QA mix, incl. costuri indirecte si marja).</t>
  </si>
  <si>
    <t xml:space="preserve">1. Analiza cerinte + standard HL7 version assessment</t>
  </si>
  <si>
    <t xml:space="preserve">Investigare LIMS-uri existente la cele 3 institute (IDSA, IISPV, ICBMV) - ce versiune HL7 suporta? v2.5.1, v2.8 sau FHIR R4? Versiunea greșita = rework masiv</t>
  </si>
  <si>
    <t xml:space="preserve">Raport assessment LIMS; recomandare versiune; lista mesaje suportate</t>
  </si>
  <si>
    <t xml:space="preserve">2. Mapping mesaje HL7 specific veterinary</t>
  </si>
  <si>
    <t xml:space="preserve">HL7 v2.x standardizat pt. medical uman; veterinary mai putin standardizat - segmente custom pentru animal ID, species, breed; necesita mapare cu RVAC/RO standards</t>
  </si>
  <si>
    <t xml:space="preserve">Mapping document ADT, ORM, ORU, MDM pt. domeniu veterinar; segmente custom</t>
  </si>
  <si>
    <t xml:space="preserve">3. Proiectare arhitectura gateway HA + persistenta mesaje</t>
  </si>
  <si>
    <t xml:space="preserve">Cluster activ-pasiv (recomandare CdS); message persistence cu idempotency; dead-letter queue pt. mesaje failed; design pentru audit GDPR sanitar</t>
  </si>
  <si>
    <t xml:space="preserve">ADR-uri; sequence diagrams; HA topology; storage schema mesaje</t>
  </si>
  <si>
    <t xml:space="preserve">4. Selectie produs gateway + setup</t>
  </si>
  <si>
    <t xml:space="preserve">Mirth Connect (gratuit, suport NextGen contra cost) vs Iguana Interface Engine (~30k EUR/an) vs InterSystems Ensemble (~50k EUR); decizie strategica TCO</t>
  </si>
  <si>
    <t xml:space="preserve">Vendor evaluation; PoC pe Mirth; decision document</t>
  </si>
  <si>
    <t xml:space="preserve">5. Setup produs gateway + configurare canale baseline</t>
  </si>
  <si>
    <t xml:space="preserve">Instalare Mirth Connect cluster; configurare per LIMS / per facility / per institut; certificate management; data sources</t>
  </si>
  <si>
    <t xml:space="preserve">Mirth Connect productie + dev; canale baseline; conexiuni LIMS-uri test</t>
  </si>
  <si>
    <t xml:space="preserve">6. Dezvoltare transformatori SQL -&gt; HL7 outbound</t>
  </si>
  <si>
    <t xml:space="preserve">Transformatori JavaScript in Mirth; cele 4-5 tipuri mesaje (ADT, ORM, ORU, MDM, ACK); diacritice RO encoding (UTF-8 vs ASCII per HL7 v2); validare segmente PID/PV1/OBR/OBX</t>
  </si>
  <si>
    <t xml:space="preserve">Channel ADT; channel ORM; channel ORU; channel MDM; channel ACK; tests unit</t>
  </si>
  <si>
    <t xml:space="preserve">7. Dezvoltare transformatori HL7 -&gt; SQL inbound</t>
  </si>
  <si>
    <t xml:space="preserve">Parse mesaje inbound de la LIMS-uri externe; validare segmente; error handling pt. mesaje malformed; mapping in schema BD ANSVSA</t>
  </si>
  <si>
    <t xml:space="preserve">Parsere segmente HL7; validators; storage in BD relationala</t>
  </si>
  <si>
    <t xml:space="preserve">8. Implementare queue + retry + dead-letter + idempotency</t>
  </si>
  <si>
    <t xml:space="preserve">Cerinta CdS explicit: stocare mesaje cu status (sent/received/failed/pending); deduplicare prin idempotency keys; retry exponential backoff (1m, 5m, 30m, 2h)</t>
  </si>
  <si>
    <t xml:space="preserve">Tabela mesaje BD; cron retry; dead-letter Q; alerting</t>
  </si>
  <si>
    <t xml:space="preserve">9. Implementare audit logging (GDPR sanitar)</t>
  </si>
  <si>
    <t xml:space="preserve">Audit complet acces date medicale animal; retention 7 ani (echivalent GDPR sanitar); anonimizare option; integrare cu SIEM principal</t>
  </si>
  <si>
    <t xml:space="preserve">Audit log schema; retention policy; SIEM forwarder</t>
  </si>
  <si>
    <t xml:space="preserve">10. Implementare backup + restore mesaje</t>
  </si>
  <si>
    <t xml:space="preserve">Cerinta explicita CdS (line 1674); daily backup BD + Mirth config; restore drill saptamanal; retention 7 ani</t>
  </si>
  <si>
    <t xml:space="preserve">Backup script automat; restore runbook; drill log</t>
  </si>
  <si>
    <t xml:space="preserve">11. Integrare API REST in fata HL7 gateway (pt. app mobila + portal)</t>
  </si>
  <si>
    <t xml:space="preserve">REST endpoints: POST /lab-orders, GET /lab-results, GET /lab-status; auth JWT; validare OpenAPI; rate limiting</t>
  </si>
  <si>
    <t xml:space="preserve">OpenAPI spec; REST controller; JWT validation; rate limiter</t>
  </si>
  <si>
    <t xml:space="preserve">12. Integrare cu Sistem responsive expediere cereri (3.4.3.3.3.1)</t>
  </si>
  <si>
    <t xml:space="preserve">Functioneaza in tandem; joint design API; shared schema cereri analize; flow orchestrat</t>
  </si>
  <si>
    <t xml:space="preserve">Common API contract; integration tests</t>
  </si>
  <si>
    <t xml:space="preserve">13. Securizare TLS mutual + MLLP over TLS</t>
  </si>
  <si>
    <t xml:space="preserve">MLLP (Minimum Lower Layer Protocol) e standardul HL7 transport - putine produse RO il suporta nativ; mTLS configuration; cert lifecycle 1-2 ani rotation; risc compat. LIMS-uri vechi (TLS 1.0/1.1 obsolete)</t>
  </si>
  <si>
    <t xml:space="preserve">mTLS configuration; MLLP framing; cert rotation runbook; LIMS compat. matrix</t>
  </si>
  <si>
    <t xml:space="preserve">14. Monitorizare + dashboard (Grafana + Prometheus)</t>
  </si>
  <si>
    <t xml:space="preserve">Metrics: queue depth, msg/sec, error rate, latency p95/p99, success rate per channel</t>
  </si>
  <si>
    <t xml:space="preserve">Dashboard Grafana; alerte Prometheus; runbook on-call</t>
  </si>
  <si>
    <t xml:space="preserve">15. Testare unit + integration cu HAPI HL7 simulator</t>
  </si>
  <si>
    <t xml:space="preserve">Sintetic message generation (HAPI TestPanel); mock-uri LIMS (cele reale nu disponibile in dev); edge cases (mesaje malformed, encoding errors, large messages &gt; 100KB)</t>
  </si>
  <si>
    <t xml:space="preserve">Test suite JUnit; HAPI simulator; mock LIMS; coverage &gt; 80%</t>
  </si>
  <si>
    <t xml:space="preserve">16. Testare conformitate HL7 (HAPI Conformance / Caristix)</t>
  </si>
  <si>
    <t xml:space="preserve">Profile compliance (mandatory fields, value sets, code systems); mesajele HL7 generate trebuie sa treaca testele de conformitate stricta a HAPI</t>
  </si>
  <si>
    <t xml:space="preserve">Conformance profile; raport conformitate; remediere</t>
  </si>
  <si>
    <t xml:space="preserve">17. Testare interoperabilitate cu LIMS REAL (cele 3 institute)</t>
  </si>
  <si>
    <t xml:space="preserve">CEL MAI MARE RISC: necunoscute despre LIMS existent la IDSA/IISPV/ICBMV - versiune HL7, dialect, custom segments; necesita joint test session cu fiecare institut (probabil 3 cicluri separate); imposibil de testat fara acces direct; depinde de cooperarea instituitiilor</t>
  </si>
  <si>
    <t xml:space="preserve">Joint testing 3 institute; rampa calibrare per institut; defect fix per cycle; sign-off per institut</t>
  </si>
  <si>
    <t xml:space="preserve">18. Performance testing</t>
  </si>
  <si>
    <t xml:space="preserve">Target: 1000+ mesaje/sec sustinut; load test JMeter/Gatling; saturatie queue; recovery dupa failure; memory leak detection</t>
  </si>
  <si>
    <t xml:space="preserve">Load test report; perf baseline; tuning recommendations</t>
  </si>
  <si>
    <t xml:space="preserve">19. Documentatie tehnica administratori</t>
  </si>
  <si>
    <t xml:space="preserve">Admin guide configurare canale Mirth; troubleshooting matrix; runbook on-call</t>
  </si>
  <si>
    <t xml:space="preserve">Admin guide PDF; runbook; troubleshooting matrix</t>
  </si>
  <si>
    <t xml:space="preserve">20. Documentatie conformitate + lista mesaje suportate</t>
  </si>
  <si>
    <t xml:space="preserve">Spec compliance doc cerut pentru evaluare oferta; tabel mesaje suportate cu mapping CdS</t>
  </si>
  <si>
    <t xml:space="preserve">Spec compliance document; tabel mesaje; trace matrix CdS</t>
  </si>
  <si>
    <t xml:space="preserve">21. UAT cu beneficiar (lab + IT + medici veterinari)</t>
  </si>
  <si>
    <t xml:space="preserve">Mesajele HL7 nu se valideaza vizual usor de utilizatori business; necesar suport echipa tehnica permanent in UAT; defect remediation iterativ</t>
  </si>
  <si>
    <t xml:space="preserve">UAT plan; defect log; remediere P1/P2; sign-off</t>
  </si>
  <si>
    <t xml:space="preserve">22. Pre-productie + go-live (paralel-run 4 saptamani)</t>
  </si>
  <si>
    <t xml:space="preserve">Strategie: paralel-run 4 saptamani cu sistem vechi (decizie CdS; big-bang prea risky); reconciliere mesaje zilnica; cutover validat</t>
  </si>
  <si>
    <t xml:space="preserve">Production deploy; paralel-run; reconciliation report; cutover; rollback plan</t>
  </si>
  <si>
    <t xml:space="preserve">23. Hyper-care 4 saptamani post go-live</t>
  </si>
  <si>
    <t xml:space="preserve">On-call 24/7 prima saptamana, 12/5 saptamana 2-4; war room daily prima saptamana</t>
  </si>
  <si>
    <t xml:space="preserve">On-call schedule; war room minutes; incident log</t>
  </si>
  <si>
    <t xml:space="preserve">24. Mentenanta + suport 3 ani (per an, NU inclus in total)</t>
  </si>
  <si>
    <t xml:space="preserve">HL7 v2 stabil dar update-uri LIMS impun adaptari schema; SLA L2+L3 conform CdS 3 ani; estimat 80 man-days/an = 0.5 FTE dedicat + on-call rotational</t>
  </si>
  <si>
    <t xml:space="preserve">Bug fixes; schema adaptations; perf tuning; security patches; SLA L2+L3</t>
  </si>
  <si>
    <t xml:space="preserve">Comparatie cu bugetul alocat (762,170 - 1,429,068 RON)</t>
  </si>
  <si>
    <t xml:space="preserve">Estimare efort - Portal Servicii Publice (3.4.3.3.2, pg.83-86 CdS) - VERSIUNE REALISTA</t>
  </si>
  <si>
    <t xml:space="preserve">Scope: Portal multi-stakeholder (cetateni + firme + medici vet) cu 56 servicii electronice publice; 185.000 utilizatori/an; 46 institutii; auth ROeID; 8 integrari externe (PNI, PCUe, ONRC, APIA, ANCPI, ANARZ, CMV); BPM workflow; PWA; A11y WCAG 2.1 AA; OWASP Top 10; performance 1000 conc users; 3 ani garantie.</t>
  </si>
  <si>
    <t xml:space="preserve">Buget alocat estimat: 8.0-14.0% din valoarea proiectului (95,271,201 RON fara TVA) = 7,621,696 - 13,337,968 RON. Tarif blended servicii senior IT: 4,500 RON/zi (PM + dev + QA mix, incl. costuri indirecte si marja).</t>
  </si>
  <si>
    <t xml:space="preserve">1. Analiza cerinte business + 46 institutii stakeholderi</t>
  </si>
  <si>
    <t xml:space="preserve">46 institutii (ANSVSA + 42 directii + 3 institute); 3 tipuri utilizatori (cetateni / firme / medici vet); 56 servicii electronice; min. 15-20 workshop-uri</t>
  </si>
  <si>
    <t xml:space="preserve">User stories detaliate; persona-uri; service catalog; backlog prioritizat; governance</t>
  </si>
  <si>
    <t xml:space="preserve">2. UX research + persona + journey mapping</t>
  </si>
  <si>
    <t xml:space="preserve">Persona-uri: cetatean nederos vs experimentat; firma mica vs mare; medic vet liber vs angajat; 56 services × ~3-4 journey states fiecare</t>
  </si>
  <si>
    <t xml:space="preserve">Personas; journey maps; service blueprints; pain points heatmap</t>
  </si>
  <si>
    <t xml:space="preserve">3. Information architecture + sitemap + taxonomie 56 servicii</t>
  </si>
  <si>
    <t xml:space="preserve">Taxonomie 56 servicii pe tip cetatean/firma/vet; search + filters faceted; cross-references intre servicii</t>
  </si>
  <si>
    <t xml:space="preserve">Sitemap; taxonomie; navigation tree; search index spec</t>
  </si>
  <si>
    <t xml:space="preserve">4. UI design system + brand ANSVSA + componente atomice</t>
  </si>
  <si>
    <t xml:space="preserve">Atomic design; component library (50+ atoms, 30+ molecules, 20+ organisms); design tokens; tema light + dark; responsive 4 breakpoints</t>
  </si>
  <si>
    <t xml:space="preserve">Figma design system; design tokens; Storybook plan; component library</t>
  </si>
  <si>
    <t xml:space="preserve">5. Wireframes Lo-Fi 56 servicii × 3-4 ecrane fiecare (~200 ecrane)</t>
  </si>
  <si>
    <t xml:space="preserve">Conservativ: ~3-4 ecrane per serviciu mediu; flow start -&gt; intermediate -&gt; review -&gt; confirm; 56 × 3.5 = ~200 ecrane</t>
  </si>
  <si>
    <t xml:space="preserve">Wireframes; arborescente flow; arhitectura formulare</t>
  </si>
  <si>
    <t xml:space="preserve">6. Hi-Fi mockups responsive (desktop + tablet + mobile)</t>
  </si>
  <si>
    <t xml:space="preserve">200 ecrane × 3 variante responsive = 600 frame-uri Figma; prototype clickable pt. UAT</t>
  </si>
  <si>
    <t xml:space="preserve">Hi-Fi Figma library; prototype; assets export</t>
  </si>
  <si>
    <t xml:space="preserve">7. Accesibilitate WCAG 2.1 AA design review + remediere</t>
  </si>
  <si>
    <t xml:space="preserve">Audit a11y pe design; remediere ecrane non-conforme; min. AA mandator pentru gov; legea 156/2020 RO</t>
  </si>
  <si>
    <t xml:space="preserve">Raport audit a11y; design corectat; checklist</t>
  </si>
  <si>
    <t xml:space="preserve">8. Arhitectura tehnica + ADR + setup proiect + decizii cheie</t>
  </si>
  <si>
    <t xml:space="preserve">Microservices vs monolith decision; headless CMS (Strapi/Directus) vs custom; build/deploy K8s vs traditional VM; observability stack</t>
  </si>
  <si>
    <t xml:space="preserve">ADR-uri; high-level architecture diagram; setup repo monorepo; CI/CD pipeline</t>
  </si>
  <si>
    <t xml:space="preserve">9. Frontend - shell + navigation + routing + state mgmt</t>
  </si>
  <si>
    <t xml:space="preserve">SPA shell (React/Vue/Angular); lazy loading per route; state management Redux/Pinia/NgRx; SSR opt. pt. SEO</t>
  </si>
  <si>
    <t xml:space="preserve">Shell app; routing; auth gate; loading states</t>
  </si>
  <si>
    <t xml:space="preserve">10. Frontend - design system implementation (Storybook)</t>
  </si>
  <si>
    <t xml:space="preserve">Component library cu Storybook; 100+ componente atomice/molecule/organisme; theming; accessibility testing per component</t>
  </si>
  <si>
    <t xml:space="preserve">Storybook deployable; Chromatic visual regression; coverage &gt; 70%</t>
  </si>
  <si>
    <t xml:space="preserve">11. Frontend - homepage + service catalog + search + filters</t>
  </si>
  <si>
    <t xml:space="preserve">Homepage hero, news, quick links; service catalog cu 56 servicii; search Elasticsearch frontend; faceted filters</t>
  </si>
  <si>
    <t xml:space="preserve">Homepage; catalog page; search UI; filter chips</t>
  </si>
  <si>
    <t xml:space="preserve">12. Frontend - 56 servicii formulare + flow (~4 zile/serviciu)</t>
  </si>
  <si>
    <t xml:space="preserve">56 servicii × 4 zile dezvoltare frontend per serviciu (in medie; unele 2 zile, altele 8 zile); validare dinamica; salvare draft; upload doc</t>
  </si>
  <si>
    <t xml:space="preserve">56 formulare functionale; validare; draft auto-save; sumar review</t>
  </si>
  <si>
    <t xml:space="preserve">13. Frontend - dashboard utilizator + istoric cereri + notificari</t>
  </si>
  <si>
    <t xml:space="preserve">Personal area; istoric cereri 56 servicii; notification center; setari profil; manage attachments</t>
  </si>
  <si>
    <t xml:space="preserve">Dashboard; istoric; notificari; profil</t>
  </si>
  <si>
    <t xml:space="preserve">14. Frontend - CMS editorial content (news, FAQ, ghiduri, regulamente)</t>
  </si>
  <si>
    <t xml:space="preserve">CMS pentru continut editorial: news, FAQ, ghiduri PDF, regulamente legale; full-text search; categorii</t>
  </si>
  <si>
    <t xml:space="preserve">CMS frontend (admin + public); pagini categorii; PDF embed</t>
  </si>
  <si>
    <t xml:space="preserve">15. Frontend - PWA features (offline read, push, install)</t>
  </si>
  <si>
    <t xml:space="preserve">Service workers, offline cache critical content, push notifications web, install prompt; Lighthouse &gt; 90</t>
  </si>
  <si>
    <t xml:space="preserve">PWA installabila; manifest; offline-first read; push web</t>
  </si>
  <si>
    <t xml:space="preserve">16. Backend - API gateway + microservices boundaries</t>
  </si>
  <si>
    <t xml:space="preserve">API gateway (Kong/Krakend); decompozitie microservicii pe servicii business; GraphQL gateway opt.; rate limiting per user/IP</t>
  </si>
  <si>
    <t xml:space="preserve">API gateway config; service boundaries definite; GraphQL gateway</t>
  </si>
  <si>
    <t xml:space="preserve">17. Backend - authentication + autorizare + ROeID integrare</t>
  </si>
  <si>
    <t xml:space="preserve">ROeID integration (cea mai mare incertitudine); SSO; OAuth2/OIDC; multi-factor; RBAC + ABAC; session management</t>
  </si>
  <si>
    <t xml:space="preserve">Auth service; ROeID adapter; RBAC matrix; session mgmt</t>
  </si>
  <si>
    <t xml:space="preserve">18. Backend - 56 servicii business logic (~6 zile/serviciu avg)</t>
  </si>
  <si>
    <t xml:space="preserve">56 servicii × 6 zile BE per serviciu (in medie; unele simple lookup 2 zile, altele complex flow 14 zile cu BPM); validari, persistence, integrari, generare documente</t>
  </si>
  <si>
    <t xml:space="preserve">56 servicii functionale; tests; OpenAPI spec; DTO-uri</t>
  </si>
  <si>
    <t xml:space="preserve">19. Backend - workflow engine (BPM) pentru flow-uri lungi</t>
  </si>
  <si>
    <t xml:space="preserve">Flow-uri lungi: autorizare 30-60 zile cu aprobari multi-nivel; BPMN visualizat; integrare cu workflow VOGO DMS; SLA tracking</t>
  </si>
  <si>
    <t xml:space="preserve">BPM integration; workflows definitie; aprobari multi-nivel; escalare</t>
  </si>
  <si>
    <t xml:space="preserve">20. Backend - storage attachments + AV scan + signing</t>
  </si>
  <si>
    <t xml:space="preserve">Upload documente catre MinIO/S3; A/V scan ClamAV; semnare digitala (qualified e-signature pt. acte oficiale)</t>
  </si>
  <si>
    <t xml:space="preserve">Storage service; AV scan; e-signature service</t>
  </si>
  <si>
    <t xml:space="preserve">21. Backend - notificari multi-channel (email + SMS + push web/mobile)</t>
  </si>
  <si>
    <t xml:space="preserve">Multi-channel notification system; templating multi-language; opt-in/opt-out granular; preferinte utilizator</t>
  </si>
  <si>
    <t xml:space="preserve">Notification service; templates RO+EN; preferinte UI</t>
  </si>
  <si>
    <t xml:space="preserve">22. Backend - integrari externe (8 sisteme: ROeID, PNI, PCUe, ONRC, APIA, ANCPI, ANARZ, CMV)</t>
  </si>
  <si>
    <t xml:space="preserve">8 integrari × ~17.5 zile each (medie); RISC RIDICAT: depinde de disponibilitate API la fiecare partener si stabilitate documentatie; deferred per partener nu in toate cazurile</t>
  </si>
  <si>
    <t xml:space="preserve">8 adaptari API; circuit breakers; fallback; monitoring per integrare</t>
  </si>
  <si>
    <t xml:space="preserve">23. Backend - audit logging + GDPR compliance (Art. 30 + Art. 15-22)</t>
  </si>
  <si>
    <t xml:space="preserve">Audit complet per GDPR Art. 30; retention configurabil; anonimizare; export per Art. 15-22 (drepturi data subject)</t>
  </si>
  <si>
    <t xml:space="preserve">Audit service; retention policy; GDPR endpoints</t>
  </si>
  <si>
    <t xml:space="preserve">24. Backend - reporting + analytics + contorizare servicii (3.4.2.13)</t>
  </si>
  <si>
    <t xml:space="preserve">Componenta CdS 3.4.2.13 = contorizare folosire servicii publice; dashboards KPI; export Excel; integrare cu BI principal</t>
  </si>
  <si>
    <t xml:space="preserve">Reporting service; dashboards admin; export endpoints</t>
  </si>
  <si>
    <t xml:space="preserve">25. Backend - admin console (servicii, content, useri, roluri)</t>
  </si>
  <si>
    <t xml:space="preserve">Self-service admin pt. servicii (config), content (publishing), useri (audit + RBAC), roluri (definire); audit complet</t>
  </si>
  <si>
    <t xml:space="preserve">Admin console functional; permisiuni granulare</t>
  </si>
  <si>
    <t xml:space="preserve">26. Securitate: WAF rules + pentest extern + remediere</t>
  </si>
  <si>
    <t xml:space="preserve">OWASP Top 10; IDOR, CSRF, SSRF, deserialization; pentest extern obligatoriu min. 2 cicluri; remediere P1/P2 mandator</t>
  </si>
  <si>
    <t xml:space="preserve">Pentest report; remediere; WAF rules; security headers</t>
  </si>
  <si>
    <t xml:space="preserve">27. Performance &amp; scalability (target 185k useri activi)</t>
  </si>
  <si>
    <t xml:space="preserve">Load test 1000 concurrent users sustinut; caching strategic (Redis); CDN; DB index optimization; query optimization</t>
  </si>
  <si>
    <t xml:space="preserve">Perf baseline; load test report; optimization recommendations</t>
  </si>
  <si>
    <t xml:space="preserve">28. Testare unit FE + BE</t>
  </si>
  <si>
    <t xml:space="preserve">Coverage &gt; 70% target; Jest/Vitest FE; JUnit/pytest BE; mutation testing critical paths</t>
  </si>
  <si>
    <t xml:space="preserve">29. Testare integration (per serviciu + integrari externe)</t>
  </si>
  <si>
    <t xml:space="preserve">56 servicii × test integration cu BE + cu 8 integrari externe; mocks pentru partneri nedisponibili</t>
  </si>
  <si>
    <t xml:space="preserve">Test suite integration; mock servers; contract tests</t>
  </si>
  <si>
    <t xml:space="preserve">30. Testare E2E (Cypress / Playwright) - critical journeys</t>
  </si>
  <si>
    <t xml:space="preserve">Critical user journeys cross-browser (Chrome, Firefox, Safari, Edge); 56 servicii test minim happy path</t>
  </si>
  <si>
    <t xml:space="preserve">E2E suite; rulare in CI; raport per build</t>
  </si>
  <si>
    <t xml:space="preserve">31. Testare A11y (axe + manual screen reader)</t>
  </si>
  <si>
    <t xml:space="preserve">All key flows; axe automated + manual NVDA/JAWS/VoiceOver/TalkBack</t>
  </si>
  <si>
    <t xml:space="preserve">A11y compliance report; remediere</t>
  </si>
  <si>
    <t xml:space="preserve">32. Testare conformitate matrice CdS (Anexa F)</t>
  </si>
  <si>
    <t xml:space="preserve">Demonstrabil per cerinta din Anexa F; 1294 cerinte de validat; trace matrix</t>
  </si>
  <si>
    <t xml:space="preserve">Test pe matrice conformitate; trace matrix; raport</t>
  </si>
  <si>
    <t xml:space="preserve">33. Documentatie tehnica + API OpenAPI + dev guide</t>
  </si>
  <si>
    <t xml:space="preserve">OpenAPI spec pt. cele 8 integrari externe + API public catre app mobila; dev guide pentru parteneri</t>
  </si>
  <si>
    <t xml:space="preserve">OpenAPI 3.0 spec; dev portal; postman collections</t>
  </si>
  <si>
    <t xml:space="preserve">34. Documentatie utilizator final + video tutorials</t>
  </si>
  <si>
    <t xml:space="preserve">Manual utilizator RO+EN per persona; video tutorials per top 20 servicii (5-7 min fiecare); in-app help contextual</t>
  </si>
  <si>
    <t xml:space="preserve">Manual PDF 100+ pag; 20 video tutorials; in-app help</t>
  </si>
  <si>
    <t xml:space="preserve">35. UAT cu ANSVSA + DSVSA + cetateni invitati + medici vet</t>
  </si>
  <si>
    <t xml:space="preserve">Multi-stakeholder UAT 4-6 saptamani; 3 cicluri; defect remediation iterativ; sign-off per modul</t>
  </si>
  <si>
    <t xml:space="preserve">UAT plan; defect log; remediere; sign-off matrix</t>
  </si>
  <si>
    <t xml:space="preserve">36. Migrare continut existent (daca exista)</t>
  </si>
  <si>
    <t xml:space="preserve">Volume continut existent NECUNOSCUT; risc inalt daca exista CMS legacy; necesar assessment in faza 1</t>
  </si>
  <si>
    <t xml:space="preserve">Migration plan; data cleansing; import scripts</t>
  </si>
  <si>
    <t xml:space="preserve">37. Pre-production deploy + go-live (faze succesive)</t>
  </si>
  <si>
    <t xml:space="preserve">Go-live in 3 faze: faza 1 (10-15 servicii core), faza 2 (20-25 servicii), faza 3 (toate 56); reduce risc big-bang</t>
  </si>
  <si>
    <t xml:space="preserve">Deploy plan; phased release; rollback plan; comms plan</t>
  </si>
  <si>
    <t xml:space="preserve">38. Operationalizare + handover suport L1/L2 + training admin</t>
  </si>
  <si>
    <t xml:space="preserve">Knowledge transfer catre echipa ANSVSA admin; runbook-uri; SLA defined; handover formal</t>
  </si>
  <si>
    <t xml:space="preserve">Runbook-uri; KT sessions; SLA matrix; sign-off operational</t>
  </si>
  <si>
    <t xml:space="preserve">39. Mentenanta + suport 3 ani (per an, NU inclus in total)</t>
  </si>
  <si>
    <t xml:space="preserve">Portal mare = mentenanta substantiala; 380 man-days/an = ~2 FTE dedicate + on-call rotational; bug fixes + adaptari + security patches; integrari externe se schimba periodic</t>
  </si>
  <si>
    <t xml:space="preserve">Bug fixes; adaptari legislative; security patches; refresh integrari; SLA</t>
  </si>
  <si>
    <t xml:space="preserve">Comparatie cu bugetul alocat (7,621,696 - 13,337,968 RON)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</si>
</sst>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&quot; RON&quot;"/>
    <numFmt numFmtId="166" formatCode="0%"/>
    <numFmt numFmtId="167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i val="true"/>
      <sz val="9"/>
      <name val="Arial"/>
      <family val="0"/>
      <charset val="1"/>
    </font>
    <font>
      <i val="true"/>
      <sz val="9"/>
      <color rgb="FFC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i val="true"/>
      <sz val="9"/>
      <color rgb="FFC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EEBF7"/>
        <bgColor rgb="FFE2EFDA"/>
      </patternFill>
    </fill>
    <fill>
      <patternFill patternType="solid">
        <fgColor rgb="FFE2EFDA"/>
        <bgColor rgb="FFDEEBF7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13"/>
    <col collapsed="false" customWidth="true" hidden="false" outlineLevel="0" max="5" min="5" style="0" width="48"/>
    <col collapsed="false" customWidth="true" hidden="false" outlineLevel="0" max="6" min="6" style="0" width="30"/>
    <col collapsed="false" customWidth="true" hidden="false" outlineLevel="0" max="7" min="7" style="0" width="36"/>
    <col collapsed="false" customWidth="true" hidden="false" outlineLevel="0" max="8" min="8" style="0" width="24"/>
    <col collapsed="false" customWidth="true" hidden="false" outlineLevel="0" max="10" min="9" style="0" width="22"/>
    <col collapsed="false" customWidth="true" hidden="false" outlineLevel="0" max="11" min="11" style="0" width="18"/>
    <col collapsed="false" customWidth="true" hidden="false" outlineLevel="0" max="12" min="12" style="0" width="40"/>
  </cols>
  <sheetData>
    <row r="1" customFormat="false" ht="37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22.35" hidden="false" customHeight="false" outlineLevel="0" collapsed="false">
      <c r="A2" s="2" t="n">
        <v>1</v>
      </c>
      <c r="B2" s="2" t="s">
        <v>12</v>
      </c>
      <c r="C2" s="2" t="s">
        <v>13</v>
      </c>
      <c r="D2" s="3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</row>
    <row r="3" customFormat="false" ht="22.35" hidden="false" customHeight="false" outlineLevel="0" collapsed="false">
      <c r="A3" s="2" t="n">
        <v>2</v>
      </c>
      <c r="B3" s="2" t="s">
        <v>12</v>
      </c>
      <c r="C3" s="2" t="s">
        <v>23</v>
      </c>
      <c r="D3" s="3" t="s">
        <v>24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31</v>
      </c>
      <c r="L3" s="2" t="s">
        <v>32</v>
      </c>
    </row>
    <row r="4" customFormat="false" ht="15" hidden="false" customHeight="false" outlineLevel="0" collapsed="false">
      <c r="A4" s="2" t="n">
        <v>3</v>
      </c>
      <c r="B4" s="2" t="s">
        <v>12</v>
      </c>
      <c r="C4" s="2" t="s">
        <v>33</v>
      </c>
      <c r="D4" s="3" t="s">
        <v>34</v>
      </c>
      <c r="E4" s="2" t="s">
        <v>35</v>
      </c>
      <c r="F4" s="2" t="s">
        <v>36</v>
      </c>
      <c r="G4" s="2" t="s">
        <v>37</v>
      </c>
      <c r="H4" s="2" t="s">
        <v>38</v>
      </c>
      <c r="I4" s="2" t="s">
        <v>39</v>
      </c>
      <c r="J4" s="2" t="s">
        <v>40</v>
      </c>
      <c r="K4" s="2" t="s">
        <v>41</v>
      </c>
      <c r="L4" s="2" t="s">
        <v>42</v>
      </c>
    </row>
    <row r="5" customFormat="false" ht="22.35" hidden="false" customHeight="false" outlineLevel="0" collapsed="false">
      <c r="A5" s="2" t="n">
        <v>4</v>
      </c>
      <c r="B5" s="2" t="s">
        <v>12</v>
      </c>
      <c r="C5" s="2" t="s">
        <v>43</v>
      </c>
      <c r="D5" s="3" t="s">
        <v>44</v>
      </c>
      <c r="E5" s="2" t="s">
        <v>35</v>
      </c>
      <c r="F5" s="2" t="s">
        <v>45</v>
      </c>
      <c r="G5" s="2" t="s">
        <v>46</v>
      </c>
      <c r="H5" s="2" t="s">
        <v>38</v>
      </c>
      <c r="I5" s="2" t="s">
        <v>47</v>
      </c>
      <c r="J5" s="2" t="s">
        <v>40</v>
      </c>
      <c r="K5" s="2" t="s">
        <v>48</v>
      </c>
      <c r="L5" s="2" t="s">
        <v>49</v>
      </c>
    </row>
    <row r="6" customFormat="false" ht="22.35" hidden="false" customHeight="false" outlineLevel="0" collapsed="false">
      <c r="A6" s="2" t="n">
        <v>5</v>
      </c>
      <c r="B6" s="2" t="s">
        <v>12</v>
      </c>
      <c r="C6" s="2" t="s">
        <v>50</v>
      </c>
      <c r="D6" s="3" t="s">
        <v>51</v>
      </c>
      <c r="E6" s="2" t="s">
        <v>52</v>
      </c>
      <c r="F6" s="2" t="s">
        <v>53</v>
      </c>
      <c r="G6" s="2" t="s">
        <v>54</v>
      </c>
      <c r="H6" s="2" t="s">
        <v>55</v>
      </c>
      <c r="I6" s="2" t="s">
        <v>56</v>
      </c>
      <c r="J6" s="2" t="s">
        <v>40</v>
      </c>
      <c r="K6" s="2" t="s">
        <v>57</v>
      </c>
      <c r="L6" s="2" t="s">
        <v>58</v>
      </c>
    </row>
    <row r="7" customFormat="false" ht="15" hidden="false" customHeight="false" outlineLevel="0" collapsed="false">
      <c r="A7" s="2" t="n">
        <v>6</v>
      </c>
      <c r="B7" s="2" t="s">
        <v>12</v>
      </c>
      <c r="C7" s="2" t="s">
        <v>59</v>
      </c>
      <c r="D7" s="3" t="s">
        <v>60</v>
      </c>
      <c r="E7" s="2" t="s">
        <v>61</v>
      </c>
      <c r="F7" s="2" t="s">
        <v>62</v>
      </c>
      <c r="G7" s="2" t="s">
        <v>63</v>
      </c>
      <c r="H7" s="2" t="s">
        <v>64</v>
      </c>
      <c r="I7" s="2" t="s">
        <v>65</v>
      </c>
      <c r="J7" s="2" t="s">
        <v>40</v>
      </c>
      <c r="K7" s="2" t="s">
        <v>66</v>
      </c>
      <c r="L7" s="2" t="s">
        <v>67</v>
      </c>
    </row>
    <row r="8" customFormat="false" ht="22.35" hidden="false" customHeight="false" outlineLevel="0" collapsed="false">
      <c r="A8" s="2" t="n">
        <v>7</v>
      </c>
      <c r="B8" s="2" t="s">
        <v>12</v>
      </c>
      <c r="C8" s="2" t="s">
        <v>68</v>
      </c>
      <c r="D8" s="3" t="s">
        <v>69</v>
      </c>
      <c r="E8" s="2" t="s">
        <v>70</v>
      </c>
      <c r="F8" s="2" t="s">
        <v>71</v>
      </c>
      <c r="G8" s="2" t="s">
        <v>72</v>
      </c>
      <c r="H8" s="2" t="s">
        <v>73</v>
      </c>
      <c r="I8" s="2" t="s">
        <v>47</v>
      </c>
      <c r="J8" s="2" t="s">
        <v>40</v>
      </c>
      <c r="K8" s="2" t="s">
        <v>74</v>
      </c>
      <c r="L8" s="2" t="s">
        <v>75</v>
      </c>
    </row>
    <row r="9" customFormat="false" ht="22.35" hidden="false" customHeight="false" outlineLevel="0" collapsed="false">
      <c r="A9" s="2" t="n">
        <v>8</v>
      </c>
      <c r="B9" s="2" t="s">
        <v>12</v>
      </c>
      <c r="C9" s="2" t="s">
        <v>76</v>
      </c>
      <c r="D9" s="3" t="s">
        <v>77</v>
      </c>
      <c r="E9" s="2" t="s">
        <v>78</v>
      </c>
      <c r="F9" s="2" t="s">
        <v>79</v>
      </c>
      <c r="G9" s="2" t="s">
        <v>80</v>
      </c>
      <c r="H9" s="2" t="s">
        <v>81</v>
      </c>
      <c r="I9" s="2" t="s">
        <v>82</v>
      </c>
      <c r="J9" s="2" t="s">
        <v>40</v>
      </c>
      <c r="K9" s="2" t="s">
        <v>83</v>
      </c>
      <c r="L9" s="2" t="s">
        <v>84</v>
      </c>
    </row>
    <row r="10" customFormat="false" ht="15" hidden="false" customHeight="false" outlineLevel="0" collapsed="false">
      <c r="A10" s="2" t="n">
        <v>9</v>
      </c>
      <c r="B10" s="2" t="s">
        <v>12</v>
      </c>
      <c r="C10" s="2" t="s">
        <v>85</v>
      </c>
      <c r="D10" s="3" t="s">
        <v>86</v>
      </c>
      <c r="E10" s="2" t="s">
        <v>87</v>
      </c>
      <c r="F10" s="2" t="s">
        <v>88</v>
      </c>
      <c r="G10" s="2" t="s">
        <v>89</v>
      </c>
      <c r="H10" s="2" t="s">
        <v>90</v>
      </c>
      <c r="I10" s="2" t="s">
        <v>91</v>
      </c>
      <c r="J10" s="2" t="s">
        <v>40</v>
      </c>
      <c r="K10" s="2" t="s">
        <v>92</v>
      </c>
      <c r="L10" s="2" t="s">
        <v>93</v>
      </c>
    </row>
    <row r="11" customFormat="false" ht="15" hidden="false" customHeight="false" outlineLevel="0" collapsed="false">
      <c r="A11" s="2" t="n">
        <v>10</v>
      </c>
      <c r="B11" s="2" t="s">
        <v>12</v>
      </c>
      <c r="C11" s="2" t="s">
        <v>94</v>
      </c>
      <c r="D11" s="3" t="s">
        <v>95</v>
      </c>
      <c r="E11" s="2" t="s">
        <v>96</v>
      </c>
      <c r="F11" s="2" t="s">
        <v>97</v>
      </c>
      <c r="G11" s="2" t="s">
        <v>98</v>
      </c>
      <c r="H11" s="2" t="s">
        <v>99</v>
      </c>
      <c r="I11" s="2" t="s">
        <v>100</v>
      </c>
      <c r="J11" s="2" t="s">
        <v>40</v>
      </c>
      <c r="K11" s="2" t="s">
        <v>101</v>
      </c>
      <c r="L11" s="2" t="s">
        <v>102</v>
      </c>
    </row>
    <row r="12" customFormat="false" ht="15" hidden="false" customHeight="false" outlineLevel="0" collapsed="false">
      <c r="A12" s="2" t="n">
        <v>11</v>
      </c>
      <c r="B12" s="2" t="s">
        <v>12</v>
      </c>
      <c r="C12" s="2" t="s">
        <v>103</v>
      </c>
      <c r="D12" s="3" t="s">
        <v>104</v>
      </c>
      <c r="E12" s="2" t="s">
        <v>105</v>
      </c>
      <c r="F12" s="2" t="s">
        <v>106</v>
      </c>
      <c r="G12" s="2" t="s">
        <v>107</v>
      </c>
      <c r="H12" s="2" t="s">
        <v>38</v>
      </c>
      <c r="I12" s="2" t="s">
        <v>47</v>
      </c>
      <c r="J12" s="2" t="s">
        <v>40</v>
      </c>
      <c r="K12" s="2" t="s">
        <v>108</v>
      </c>
      <c r="L12" s="2" t="s">
        <v>109</v>
      </c>
    </row>
    <row r="13" customFormat="false" ht="22.35" hidden="false" customHeight="false" outlineLevel="0" collapsed="false">
      <c r="A13" s="4" t="n">
        <v>12</v>
      </c>
      <c r="B13" s="4" t="s">
        <v>110</v>
      </c>
      <c r="C13" s="4" t="s">
        <v>111</v>
      </c>
      <c r="D13" s="5" t="s">
        <v>112</v>
      </c>
      <c r="E13" s="4" t="s">
        <v>113</v>
      </c>
      <c r="F13" s="4" t="s">
        <v>114</v>
      </c>
      <c r="G13" s="4" t="s">
        <v>115</v>
      </c>
      <c r="H13" s="4" t="s">
        <v>116</v>
      </c>
      <c r="I13" s="4" t="s">
        <v>117</v>
      </c>
      <c r="J13" s="4" t="s">
        <v>30</v>
      </c>
      <c r="K13" s="4" t="s">
        <v>118</v>
      </c>
      <c r="L13" s="4" t="s">
        <v>119</v>
      </c>
    </row>
    <row r="14" customFormat="false" ht="22.35" hidden="false" customHeight="false" outlineLevel="0" collapsed="false">
      <c r="A14" s="4" t="n">
        <v>13</v>
      </c>
      <c r="B14" s="4" t="s">
        <v>110</v>
      </c>
      <c r="C14" s="4" t="s">
        <v>120</v>
      </c>
      <c r="D14" s="5" t="s">
        <v>121</v>
      </c>
      <c r="E14" s="4" t="s">
        <v>122</v>
      </c>
      <c r="F14" s="4" t="s">
        <v>123</v>
      </c>
      <c r="G14" s="4" t="s">
        <v>124</v>
      </c>
      <c r="H14" s="4" t="s">
        <v>125</v>
      </c>
      <c r="I14" s="4" t="s">
        <v>117</v>
      </c>
      <c r="J14" s="4" t="s">
        <v>40</v>
      </c>
      <c r="K14" s="4" t="s">
        <v>126</v>
      </c>
      <c r="L14" s="4" t="s">
        <v>127</v>
      </c>
    </row>
    <row r="15" customFormat="false" ht="22.35" hidden="false" customHeight="false" outlineLevel="0" collapsed="false">
      <c r="A15" s="4" t="n">
        <v>14</v>
      </c>
      <c r="B15" s="4" t="s">
        <v>110</v>
      </c>
      <c r="C15" s="4" t="s">
        <v>128</v>
      </c>
      <c r="D15" s="5" t="s">
        <v>129</v>
      </c>
      <c r="E15" s="4" t="s">
        <v>130</v>
      </c>
      <c r="F15" s="4" t="s">
        <v>131</v>
      </c>
      <c r="G15" s="4" t="s">
        <v>132</v>
      </c>
      <c r="H15" s="4" t="s">
        <v>133</v>
      </c>
      <c r="I15" s="4" t="s">
        <v>134</v>
      </c>
      <c r="J15" s="4" t="s">
        <v>40</v>
      </c>
      <c r="K15" s="4" t="s">
        <v>135</v>
      </c>
      <c r="L15" s="4" t="s">
        <v>136</v>
      </c>
    </row>
    <row r="16" customFormat="false" ht="22.35" hidden="false" customHeight="false" outlineLevel="0" collapsed="false">
      <c r="A16" s="4" t="n">
        <v>15</v>
      </c>
      <c r="B16" s="4" t="s">
        <v>110</v>
      </c>
      <c r="C16" s="4" t="s">
        <v>137</v>
      </c>
      <c r="D16" s="5" t="s">
        <v>138</v>
      </c>
      <c r="E16" s="4" t="s">
        <v>139</v>
      </c>
      <c r="F16" s="4" t="s">
        <v>140</v>
      </c>
      <c r="G16" s="4" t="s">
        <v>141</v>
      </c>
      <c r="H16" s="4" t="s">
        <v>142</v>
      </c>
      <c r="I16" s="4" t="s">
        <v>143</v>
      </c>
      <c r="J16" s="4" t="s">
        <v>144</v>
      </c>
      <c r="K16" s="4" t="s">
        <v>145</v>
      </c>
      <c r="L16" s="4" t="s">
        <v>146</v>
      </c>
    </row>
    <row r="17" customFormat="false" ht="22.35" hidden="false" customHeight="false" outlineLevel="0" collapsed="false">
      <c r="A17" s="4" t="n">
        <v>16</v>
      </c>
      <c r="B17" s="4" t="s">
        <v>110</v>
      </c>
      <c r="C17" s="4" t="s">
        <v>147</v>
      </c>
      <c r="D17" s="5" t="s">
        <v>148</v>
      </c>
      <c r="E17" s="4" t="s">
        <v>149</v>
      </c>
      <c r="F17" s="4" t="s">
        <v>150</v>
      </c>
      <c r="G17" s="4" t="s">
        <v>151</v>
      </c>
      <c r="H17" s="4" t="s">
        <v>152</v>
      </c>
      <c r="I17" s="4" t="s">
        <v>117</v>
      </c>
      <c r="J17" s="4" t="s">
        <v>153</v>
      </c>
      <c r="K17" s="4" t="s">
        <v>154</v>
      </c>
      <c r="L17" s="4" t="s">
        <v>155</v>
      </c>
    </row>
    <row r="18" customFormat="false" ht="15" hidden="false" customHeight="false" outlineLevel="0" collapsed="false">
      <c r="A18" s="4" t="n">
        <v>17</v>
      </c>
      <c r="B18" s="4" t="s">
        <v>110</v>
      </c>
      <c r="C18" s="4" t="s">
        <v>156</v>
      </c>
      <c r="D18" s="5" t="s">
        <v>157</v>
      </c>
      <c r="E18" s="4" t="s">
        <v>158</v>
      </c>
      <c r="F18" s="4" t="s">
        <v>159</v>
      </c>
      <c r="G18" s="4" t="s">
        <v>160</v>
      </c>
      <c r="H18" s="4" t="s">
        <v>161</v>
      </c>
      <c r="I18" s="4" t="s">
        <v>162</v>
      </c>
      <c r="J18" s="4" t="s">
        <v>40</v>
      </c>
      <c r="K18" s="4" t="s">
        <v>163</v>
      </c>
      <c r="L18" s="4" t="s">
        <v>164</v>
      </c>
    </row>
    <row r="19" customFormat="false" ht="22.35" hidden="false" customHeight="false" outlineLevel="0" collapsed="false">
      <c r="A19" s="6" t="n">
        <v>18</v>
      </c>
      <c r="B19" s="6" t="s">
        <v>165</v>
      </c>
      <c r="C19" s="6" t="s">
        <v>166</v>
      </c>
      <c r="D19" s="7" t="s">
        <v>167</v>
      </c>
      <c r="E19" s="6" t="s">
        <v>168</v>
      </c>
      <c r="F19" s="6" t="s">
        <v>169</v>
      </c>
      <c r="G19" s="6" t="s">
        <v>170</v>
      </c>
      <c r="H19" s="6" t="s">
        <v>171</v>
      </c>
      <c r="I19" s="6" t="s">
        <v>172</v>
      </c>
      <c r="J19" s="6" t="s">
        <v>173</v>
      </c>
      <c r="K19" s="6" t="s">
        <v>174</v>
      </c>
      <c r="L19" s="6" t="s">
        <v>175</v>
      </c>
    </row>
    <row r="20" customFormat="false" ht="15" hidden="false" customHeight="false" outlineLevel="0" collapsed="false">
      <c r="A20" s="6" t="n">
        <v>19</v>
      </c>
      <c r="B20" s="6" t="s">
        <v>165</v>
      </c>
      <c r="C20" s="6" t="s">
        <v>176</v>
      </c>
      <c r="D20" s="7" t="s">
        <v>177</v>
      </c>
      <c r="E20" s="6" t="s">
        <v>178</v>
      </c>
      <c r="F20" s="6" t="s">
        <v>179</v>
      </c>
      <c r="G20" s="6" t="s">
        <v>180</v>
      </c>
      <c r="H20" s="6" t="s">
        <v>181</v>
      </c>
      <c r="I20" s="6" t="s">
        <v>182</v>
      </c>
      <c r="J20" s="6" t="s">
        <v>173</v>
      </c>
      <c r="K20" s="6" t="s">
        <v>183</v>
      </c>
      <c r="L20" s="6" t="s">
        <v>184</v>
      </c>
    </row>
    <row r="21" customFormat="false" ht="15" hidden="false" customHeight="false" outlineLevel="0" collapsed="false">
      <c r="A21" s="6" t="n">
        <v>20</v>
      </c>
      <c r="B21" s="6" t="s">
        <v>165</v>
      </c>
      <c r="C21" s="6" t="s">
        <v>185</v>
      </c>
      <c r="D21" s="7" t="s">
        <v>186</v>
      </c>
      <c r="E21" s="6" t="s">
        <v>187</v>
      </c>
      <c r="F21" s="6" t="s">
        <v>188</v>
      </c>
      <c r="G21" s="6" t="s">
        <v>189</v>
      </c>
      <c r="H21" s="6" t="s">
        <v>190</v>
      </c>
      <c r="I21" s="6" t="s">
        <v>191</v>
      </c>
      <c r="J21" s="6" t="s">
        <v>173</v>
      </c>
      <c r="K21" s="6" t="s">
        <v>192</v>
      </c>
      <c r="L21" s="6" t="s">
        <v>193</v>
      </c>
    </row>
    <row r="22" customFormat="false" ht="15" hidden="false" customHeight="false" outlineLevel="0" collapsed="false">
      <c r="A22" s="6" t="n">
        <v>21</v>
      </c>
      <c r="B22" s="6" t="s">
        <v>165</v>
      </c>
      <c r="C22" s="6" t="s">
        <v>194</v>
      </c>
      <c r="D22" s="7" t="s">
        <v>195</v>
      </c>
      <c r="E22" s="6" t="s">
        <v>196</v>
      </c>
      <c r="F22" s="6" t="s">
        <v>197</v>
      </c>
      <c r="G22" s="6" t="s">
        <v>198</v>
      </c>
      <c r="H22" s="6" t="s">
        <v>199</v>
      </c>
      <c r="I22" s="6" t="s">
        <v>200</v>
      </c>
      <c r="J22" s="6" t="s">
        <v>173</v>
      </c>
      <c r="K22" s="6" t="s">
        <v>66</v>
      </c>
      <c r="L22" s="6" t="s">
        <v>201</v>
      </c>
    </row>
    <row r="23" customFormat="false" ht="15" hidden="false" customHeight="false" outlineLevel="0" collapsed="false">
      <c r="A23" s="6" t="n">
        <v>22</v>
      </c>
      <c r="B23" s="6" t="s">
        <v>165</v>
      </c>
      <c r="C23" s="6" t="s">
        <v>202</v>
      </c>
      <c r="D23" s="7" t="s">
        <v>203</v>
      </c>
      <c r="E23" s="6" t="s">
        <v>204</v>
      </c>
      <c r="F23" s="6" t="s">
        <v>205</v>
      </c>
      <c r="G23" s="6" t="s">
        <v>206</v>
      </c>
      <c r="H23" s="6" t="s">
        <v>171</v>
      </c>
      <c r="I23" s="6" t="s">
        <v>207</v>
      </c>
      <c r="J23" s="6" t="s">
        <v>173</v>
      </c>
      <c r="K23" s="6" t="s">
        <v>208</v>
      </c>
      <c r="L23" s="6" t="s">
        <v>209</v>
      </c>
    </row>
    <row r="24" customFormat="false" ht="22.35" hidden="false" customHeight="false" outlineLevel="0" collapsed="false">
      <c r="A24" s="6" t="n">
        <v>23</v>
      </c>
      <c r="B24" s="6" t="s">
        <v>165</v>
      </c>
      <c r="C24" s="6" t="s">
        <v>210</v>
      </c>
      <c r="D24" s="7" t="s">
        <v>211</v>
      </c>
      <c r="E24" s="6" t="s">
        <v>212</v>
      </c>
      <c r="F24" s="6" t="s">
        <v>213</v>
      </c>
      <c r="G24" s="6" t="s">
        <v>214</v>
      </c>
      <c r="H24" s="6" t="s">
        <v>171</v>
      </c>
      <c r="I24" s="6" t="s">
        <v>215</v>
      </c>
      <c r="J24" s="6" t="s">
        <v>216</v>
      </c>
      <c r="K24" s="6" t="s">
        <v>217</v>
      </c>
      <c r="L24" s="6" t="s">
        <v>218</v>
      </c>
    </row>
    <row r="25" customFormat="false" ht="22.35" hidden="false" customHeight="false" outlineLevel="0" collapsed="false">
      <c r="A25" s="6" t="n">
        <v>24</v>
      </c>
      <c r="B25" s="6" t="s">
        <v>165</v>
      </c>
      <c r="C25" s="6" t="s">
        <v>219</v>
      </c>
      <c r="D25" s="7" t="s">
        <v>220</v>
      </c>
      <c r="E25" s="6" t="s">
        <v>221</v>
      </c>
      <c r="F25" s="6" t="s">
        <v>222</v>
      </c>
      <c r="G25" s="6" t="s">
        <v>223</v>
      </c>
      <c r="H25" s="6" t="s">
        <v>224</v>
      </c>
      <c r="I25" s="6" t="s">
        <v>225</v>
      </c>
      <c r="J25" s="6" t="s">
        <v>226</v>
      </c>
      <c r="K25" s="6" t="s">
        <v>227</v>
      </c>
      <c r="L25" s="6" t="s">
        <v>228</v>
      </c>
    </row>
    <row r="26" customFormat="false" ht="22.35" hidden="false" customHeight="false" outlineLevel="0" collapsed="false">
      <c r="A26" s="8" t="n">
        <v>25</v>
      </c>
      <c r="B26" s="8" t="s">
        <v>229</v>
      </c>
      <c r="C26" s="8" t="s">
        <v>230</v>
      </c>
      <c r="D26" s="9" t="s">
        <v>231</v>
      </c>
      <c r="E26" s="8" t="s">
        <v>232</v>
      </c>
      <c r="F26" s="8" t="s">
        <v>233</v>
      </c>
      <c r="G26" s="8" t="s">
        <v>234</v>
      </c>
      <c r="H26" s="8" t="s">
        <v>235</v>
      </c>
      <c r="I26" s="8" t="s">
        <v>236</v>
      </c>
      <c r="J26" s="8" t="s">
        <v>237</v>
      </c>
      <c r="K26" s="8" t="s">
        <v>238</v>
      </c>
      <c r="L26" s="8" t="s">
        <v>239</v>
      </c>
    </row>
    <row r="27" customFormat="false" ht="22.35" hidden="false" customHeight="false" outlineLevel="0" collapsed="false">
      <c r="A27" s="8" t="n">
        <v>26</v>
      </c>
      <c r="B27" s="8" t="s">
        <v>229</v>
      </c>
      <c r="C27" s="8" t="s">
        <v>240</v>
      </c>
      <c r="D27" s="9" t="s">
        <v>241</v>
      </c>
      <c r="E27" s="8" t="s">
        <v>242</v>
      </c>
      <c r="F27" s="8" t="s">
        <v>233</v>
      </c>
      <c r="G27" s="8" t="s">
        <v>243</v>
      </c>
      <c r="H27" s="8" t="s">
        <v>244</v>
      </c>
      <c r="I27" s="8" t="s">
        <v>236</v>
      </c>
      <c r="J27" s="8" t="s">
        <v>245</v>
      </c>
      <c r="K27" s="8" t="s">
        <v>246</v>
      </c>
      <c r="L27" s="8" t="s">
        <v>247</v>
      </c>
    </row>
    <row r="28" customFormat="false" ht="15" hidden="false" customHeight="false" outlineLevel="0" collapsed="false">
      <c r="A28" s="8" t="n">
        <v>27</v>
      </c>
      <c r="B28" s="8" t="s">
        <v>229</v>
      </c>
      <c r="C28" s="8" t="s">
        <v>248</v>
      </c>
      <c r="D28" s="9" t="s">
        <v>249</v>
      </c>
      <c r="E28" s="8" t="s">
        <v>250</v>
      </c>
      <c r="F28" s="8" t="s">
        <v>251</v>
      </c>
      <c r="G28" s="8" t="s">
        <v>252</v>
      </c>
      <c r="H28" s="8" t="s">
        <v>253</v>
      </c>
      <c r="I28" s="8" t="s">
        <v>254</v>
      </c>
      <c r="J28" s="8" t="s">
        <v>255</v>
      </c>
      <c r="K28" s="8" t="s">
        <v>256</v>
      </c>
      <c r="L28" s="8" t="s">
        <v>257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32"/>
    <col collapsed="false" customWidth="true" hidden="false" outlineLevel="0" max="4" min="4" style="0" width="18"/>
    <col collapsed="false" customWidth="true" hidden="false" outlineLevel="0" max="5" min="5" style="0" width="24"/>
    <col collapsed="false" customWidth="true" hidden="false" outlineLevel="0" max="6" min="6" style="0" width="70"/>
  </cols>
  <sheetData>
    <row r="1" customFormat="false" ht="31.5" hidden="false" customHeight="true" outlineLevel="0" collapsed="false">
      <c r="A1" s="1" t="s">
        <v>0</v>
      </c>
      <c r="B1" s="1" t="s">
        <v>258</v>
      </c>
      <c r="C1" s="1" t="s">
        <v>259</v>
      </c>
      <c r="D1" s="1" t="s">
        <v>260</v>
      </c>
      <c r="E1" s="1" t="s">
        <v>261</v>
      </c>
      <c r="F1" s="1" t="s">
        <v>262</v>
      </c>
    </row>
    <row r="2" customFormat="false" ht="15" hidden="false" customHeight="false" outlineLevel="0" collapsed="false">
      <c r="A2" s="10" t="n">
        <v>1</v>
      </c>
      <c r="B2" s="10" t="s">
        <v>263</v>
      </c>
      <c r="C2" s="10" t="s">
        <v>264</v>
      </c>
      <c r="D2" s="10" t="s">
        <v>265</v>
      </c>
      <c r="E2" s="10" t="s">
        <v>266</v>
      </c>
      <c r="F2" s="10" t="s">
        <v>267</v>
      </c>
    </row>
    <row r="3" customFormat="false" ht="15" hidden="false" customHeight="false" outlineLevel="0" collapsed="false">
      <c r="A3" s="10" t="n">
        <v>2</v>
      </c>
      <c r="B3" s="10" t="s">
        <v>268</v>
      </c>
      <c r="C3" s="10" t="s">
        <v>269</v>
      </c>
      <c r="D3" s="10" t="s">
        <v>265</v>
      </c>
      <c r="E3" s="10" t="s">
        <v>270</v>
      </c>
      <c r="F3" s="10" t="s">
        <v>271</v>
      </c>
    </row>
    <row r="4" customFormat="false" ht="15" hidden="false" customHeight="false" outlineLevel="0" collapsed="false">
      <c r="A4" s="10" t="n">
        <v>3</v>
      </c>
      <c r="B4" s="10" t="s">
        <v>272</v>
      </c>
      <c r="C4" s="10" t="s">
        <v>273</v>
      </c>
      <c r="D4" s="10" t="s">
        <v>274</v>
      </c>
      <c r="E4" s="10" t="s">
        <v>275</v>
      </c>
      <c r="F4" s="10" t="s">
        <v>276</v>
      </c>
    </row>
    <row r="5" customFormat="false" ht="15" hidden="false" customHeight="false" outlineLevel="0" collapsed="false">
      <c r="A5" s="10" t="n">
        <v>4</v>
      </c>
      <c r="B5" s="10" t="s">
        <v>277</v>
      </c>
      <c r="C5" s="10" t="s">
        <v>73</v>
      </c>
      <c r="D5" s="10" t="s">
        <v>278</v>
      </c>
      <c r="E5" s="10" t="s">
        <v>279</v>
      </c>
      <c r="F5" s="10" t="s">
        <v>280</v>
      </c>
    </row>
    <row r="6" customFormat="false" ht="22.35" hidden="false" customHeight="false" outlineLevel="0" collapsed="false">
      <c r="A6" s="10" t="n">
        <v>5</v>
      </c>
      <c r="B6" s="10" t="s">
        <v>281</v>
      </c>
      <c r="C6" s="10" t="s">
        <v>81</v>
      </c>
      <c r="D6" s="10" t="s">
        <v>282</v>
      </c>
      <c r="E6" s="10" t="s">
        <v>283</v>
      </c>
      <c r="F6" s="10" t="s">
        <v>284</v>
      </c>
    </row>
    <row r="7" customFormat="false" ht="15" hidden="false" customHeight="false" outlineLevel="0" collapsed="false">
      <c r="A7" s="10" t="n">
        <v>6</v>
      </c>
      <c r="B7" s="10" t="s">
        <v>103</v>
      </c>
      <c r="C7" s="10" t="s">
        <v>285</v>
      </c>
      <c r="D7" s="10" t="s">
        <v>265</v>
      </c>
      <c r="E7" s="10" t="s">
        <v>286</v>
      </c>
      <c r="F7" s="10" t="s">
        <v>287</v>
      </c>
    </row>
    <row r="8" customFormat="false" ht="22.35" hidden="false" customHeight="false" outlineLevel="0" collapsed="false">
      <c r="A8" s="10" t="n">
        <v>7</v>
      </c>
      <c r="B8" s="10" t="s">
        <v>147</v>
      </c>
      <c r="C8" s="10" t="s">
        <v>288</v>
      </c>
      <c r="D8" s="10" t="s">
        <v>289</v>
      </c>
      <c r="E8" s="10" t="s">
        <v>290</v>
      </c>
      <c r="F8" s="10" t="s">
        <v>291</v>
      </c>
    </row>
    <row r="9" customFormat="false" ht="15" hidden="false" customHeight="false" outlineLevel="0" collapsed="false">
      <c r="A9" s="10" t="n">
        <v>8</v>
      </c>
      <c r="B9" s="10" t="s">
        <v>292</v>
      </c>
      <c r="C9" s="10" t="s">
        <v>293</v>
      </c>
      <c r="D9" s="10" t="s">
        <v>294</v>
      </c>
      <c r="E9" s="10" t="s">
        <v>295</v>
      </c>
      <c r="F9" s="10" t="s">
        <v>296</v>
      </c>
    </row>
    <row r="10" customFormat="false" ht="15" hidden="false" customHeight="false" outlineLevel="0" collapsed="false">
      <c r="A10" s="10" t="n">
        <v>9</v>
      </c>
      <c r="B10" s="10" t="s">
        <v>166</v>
      </c>
      <c r="C10" s="10" t="s">
        <v>297</v>
      </c>
      <c r="D10" s="10" t="s">
        <v>294</v>
      </c>
      <c r="E10" s="10" t="s">
        <v>298</v>
      </c>
      <c r="F10" s="10" t="s">
        <v>299</v>
      </c>
    </row>
    <row r="11" customFormat="false" ht="15" hidden="false" customHeight="false" outlineLevel="0" collapsed="false">
      <c r="A11" s="10" t="n">
        <v>10</v>
      </c>
      <c r="B11" s="10" t="s">
        <v>176</v>
      </c>
      <c r="C11" s="10" t="s">
        <v>300</v>
      </c>
      <c r="D11" s="10" t="s">
        <v>301</v>
      </c>
      <c r="E11" s="10" t="s">
        <v>302</v>
      </c>
      <c r="F11" s="10" t="s">
        <v>303</v>
      </c>
    </row>
    <row r="12" customFormat="false" ht="22.35" hidden="false" customHeight="false" outlineLevel="0" collapsed="false">
      <c r="A12" s="10" t="n">
        <v>11</v>
      </c>
      <c r="B12" s="10" t="s">
        <v>304</v>
      </c>
      <c r="C12" s="10" t="s">
        <v>305</v>
      </c>
      <c r="D12" s="10" t="s">
        <v>306</v>
      </c>
      <c r="E12" s="10" t="s">
        <v>307</v>
      </c>
      <c r="F12" s="10" t="s">
        <v>308</v>
      </c>
    </row>
    <row r="13" customFormat="false" ht="15" hidden="false" customHeight="false" outlineLevel="0" collapsed="false">
      <c r="A13" s="10" t="n">
        <v>12</v>
      </c>
      <c r="B13" s="10" t="s">
        <v>210</v>
      </c>
      <c r="C13" s="10" t="s">
        <v>309</v>
      </c>
      <c r="D13" s="10" t="s">
        <v>310</v>
      </c>
      <c r="E13" s="10" t="s">
        <v>311</v>
      </c>
      <c r="F13" s="10" t="s">
        <v>312</v>
      </c>
    </row>
    <row r="14" customFormat="false" ht="15" hidden="false" customHeight="false" outlineLevel="0" collapsed="false">
      <c r="A14" s="10" t="n">
        <v>13</v>
      </c>
      <c r="B14" s="10" t="s">
        <v>219</v>
      </c>
      <c r="C14" s="10" t="s">
        <v>313</v>
      </c>
      <c r="D14" s="10" t="s">
        <v>310</v>
      </c>
      <c r="E14" s="10" t="s">
        <v>314</v>
      </c>
      <c r="F14" s="10" t="s">
        <v>315</v>
      </c>
    </row>
    <row r="15" customFormat="false" ht="22.35" hidden="false" customHeight="false" outlineLevel="0" collapsed="false">
      <c r="A15" s="10" t="n">
        <v>14</v>
      </c>
      <c r="B15" s="10" t="s">
        <v>316</v>
      </c>
      <c r="C15" s="10" t="s">
        <v>317</v>
      </c>
      <c r="D15" s="10" t="s">
        <v>318</v>
      </c>
      <c r="E15" s="10" t="s">
        <v>319</v>
      </c>
      <c r="F15" s="10" t="s">
        <v>320</v>
      </c>
    </row>
    <row r="16" customFormat="false" ht="22.35" hidden="false" customHeight="false" outlineLevel="0" collapsed="false">
      <c r="A16" s="10" t="n">
        <v>15</v>
      </c>
      <c r="B16" s="10" t="s">
        <v>321</v>
      </c>
      <c r="C16" s="10" t="s">
        <v>322</v>
      </c>
      <c r="D16" s="10" t="s">
        <v>318</v>
      </c>
      <c r="E16" s="10" t="s">
        <v>323</v>
      </c>
      <c r="F16" s="10" t="s">
        <v>324</v>
      </c>
    </row>
    <row r="17" customFormat="false" ht="15" hidden="false" customHeight="false" outlineLevel="0" collapsed="false">
      <c r="A17" s="10" t="n">
        <v>16</v>
      </c>
      <c r="B17" s="10" t="s">
        <v>325</v>
      </c>
      <c r="C17" s="10" t="s">
        <v>326</v>
      </c>
      <c r="D17" s="10" t="s">
        <v>294</v>
      </c>
      <c r="E17" s="10" t="s">
        <v>327</v>
      </c>
      <c r="F17" s="10" t="s">
        <v>328</v>
      </c>
    </row>
    <row r="18" customFormat="false" ht="15" hidden="false" customHeight="false" outlineLevel="0" collapsed="false">
      <c r="A18" s="10" t="n">
        <v>17</v>
      </c>
      <c r="B18" s="10" t="s">
        <v>329</v>
      </c>
      <c r="C18" s="10" t="s">
        <v>330</v>
      </c>
      <c r="D18" s="10" t="s">
        <v>331</v>
      </c>
      <c r="E18" s="10" t="s">
        <v>327</v>
      </c>
      <c r="F18" s="10" t="s">
        <v>332</v>
      </c>
    </row>
    <row r="19" customFormat="false" ht="15" hidden="false" customHeight="false" outlineLevel="0" collapsed="false">
      <c r="A19" s="10" t="n">
        <v>18</v>
      </c>
      <c r="B19" s="10" t="s">
        <v>333</v>
      </c>
      <c r="C19" s="10" t="s">
        <v>334</v>
      </c>
      <c r="D19" s="10" t="s">
        <v>294</v>
      </c>
      <c r="E19" s="10" t="s">
        <v>335</v>
      </c>
      <c r="F19" s="10" t="s">
        <v>336</v>
      </c>
    </row>
    <row r="20" customFormat="false" ht="15" hidden="false" customHeight="false" outlineLevel="0" collapsed="false">
      <c r="A20" s="10" t="n">
        <v>19</v>
      </c>
      <c r="B20" s="10" t="s">
        <v>337</v>
      </c>
      <c r="C20" s="10" t="s">
        <v>338</v>
      </c>
      <c r="D20" s="10" t="s">
        <v>331</v>
      </c>
      <c r="E20" s="10" t="s">
        <v>327</v>
      </c>
      <c r="F20" s="10" t="s">
        <v>339</v>
      </c>
    </row>
    <row r="21" customFormat="false" ht="15" hidden="false" customHeight="false" outlineLevel="0" collapsed="false">
      <c r="A21" s="10" t="n">
        <v>20</v>
      </c>
      <c r="B21" s="10" t="s">
        <v>340</v>
      </c>
      <c r="C21" s="10" t="s">
        <v>341</v>
      </c>
      <c r="D21" s="10" t="s">
        <v>294</v>
      </c>
      <c r="E21" s="10" t="s">
        <v>342</v>
      </c>
      <c r="F21" s="10" t="s">
        <v>343</v>
      </c>
    </row>
    <row r="22" customFormat="false" ht="15" hidden="false" customHeight="false" outlineLevel="0" collapsed="false">
      <c r="A22" s="10" t="n">
        <v>21</v>
      </c>
      <c r="B22" s="10" t="s">
        <v>344</v>
      </c>
      <c r="C22" s="10" t="s">
        <v>345</v>
      </c>
      <c r="D22" s="10" t="s">
        <v>346</v>
      </c>
      <c r="E22" s="10" t="s">
        <v>347</v>
      </c>
      <c r="F22" s="10" t="s">
        <v>348</v>
      </c>
    </row>
    <row r="23" customFormat="false" ht="15" hidden="false" customHeight="false" outlineLevel="0" collapsed="false">
      <c r="A23" s="10" t="n">
        <v>22</v>
      </c>
      <c r="B23" s="10" t="s">
        <v>349</v>
      </c>
      <c r="C23" s="10" t="s">
        <v>350</v>
      </c>
      <c r="D23" s="10" t="s">
        <v>346</v>
      </c>
      <c r="E23" s="10" t="s">
        <v>347</v>
      </c>
      <c r="F23" s="10" t="s">
        <v>351</v>
      </c>
    </row>
    <row r="24" customFormat="false" ht="15" hidden="false" customHeight="false" outlineLevel="0" collapsed="false">
      <c r="A24" s="10" t="n">
        <v>23</v>
      </c>
      <c r="B24" s="10" t="s">
        <v>352</v>
      </c>
      <c r="C24" s="10" t="s">
        <v>353</v>
      </c>
      <c r="D24" s="10" t="s">
        <v>346</v>
      </c>
      <c r="E24" s="10" t="s">
        <v>347</v>
      </c>
      <c r="F24" s="10" t="s">
        <v>354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10"/>
    <col collapsed="false" customWidth="true" hidden="false" outlineLevel="0" max="5" min="5" style="0" width="55"/>
    <col collapsed="false" customWidth="true" hidden="false" outlineLevel="0" max="6" min="6" style="0" width="50"/>
  </cols>
  <sheetData>
    <row r="1" customFormat="false" ht="15" hidden="false" customHeight="false" outlineLevel="0" collapsed="false">
      <c r="A1" s="11" t="s">
        <v>355</v>
      </c>
      <c r="B1" s="11"/>
      <c r="C1" s="11"/>
      <c r="D1" s="11"/>
      <c r="E1" s="11"/>
      <c r="F1" s="11"/>
    </row>
    <row r="2" customFormat="false" ht="49.5" hidden="false" customHeight="true" outlineLevel="0" collapsed="false">
      <c r="A2" s="12" t="s">
        <v>356</v>
      </c>
      <c r="B2" s="12"/>
      <c r="C2" s="12"/>
      <c r="D2" s="12"/>
      <c r="E2" s="12"/>
      <c r="F2" s="12"/>
    </row>
    <row r="3" customFormat="false" ht="39.75" hidden="false" customHeight="true" outlineLevel="0" collapsed="false">
      <c r="A3" s="13" t="s">
        <v>357</v>
      </c>
      <c r="B3" s="13"/>
      <c r="C3" s="13"/>
      <c r="D3" s="13"/>
      <c r="E3" s="13"/>
      <c r="F3" s="13"/>
    </row>
    <row r="5" customFormat="false" ht="27.75" hidden="false" customHeight="true" outlineLevel="0" collapsed="false">
      <c r="A5" s="1" t="s">
        <v>358</v>
      </c>
      <c r="B5" s="1" t="s">
        <v>359</v>
      </c>
      <c r="C5" s="1" t="s">
        <v>360</v>
      </c>
      <c r="D5" s="1" t="s">
        <v>361</v>
      </c>
      <c r="E5" s="1" t="s">
        <v>362</v>
      </c>
      <c r="F5" s="1" t="s">
        <v>363</v>
      </c>
    </row>
    <row r="6" customFormat="false" ht="32.8" hidden="false" customHeight="false" outlineLevel="0" collapsed="false">
      <c r="A6" s="10" t="s">
        <v>364</v>
      </c>
      <c r="B6" s="14" t="n">
        <v>22</v>
      </c>
      <c r="C6" s="15" t="n">
        <f aca="false">B6*4500</f>
        <v>99000</v>
      </c>
      <c r="D6" s="16" t="n">
        <v>0.15</v>
      </c>
      <c r="E6" s="10" t="s">
        <v>365</v>
      </c>
      <c r="F6" s="10" t="s">
        <v>366</v>
      </c>
    </row>
    <row r="7" customFormat="false" ht="22.35" hidden="false" customHeight="false" outlineLevel="0" collapsed="false">
      <c r="A7" s="10" t="s">
        <v>367</v>
      </c>
      <c r="B7" s="14" t="n">
        <v>28</v>
      </c>
      <c r="C7" s="15" t="n">
        <f aca="false">B7*4500</f>
        <v>126000</v>
      </c>
      <c r="D7" s="16" t="n">
        <v>0.2</v>
      </c>
      <c r="E7" s="10" t="s">
        <v>368</v>
      </c>
      <c r="F7" s="10" t="s">
        <v>369</v>
      </c>
    </row>
    <row r="8" customFormat="false" ht="22.35" hidden="false" customHeight="false" outlineLevel="0" collapsed="false">
      <c r="A8" s="10" t="s">
        <v>370</v>
      </c>
      <c r="B8" s="14" t="n">
        <v>32</v>
      </c>
      <c r="C8" s="15" t="n">
        <f aca="false">B8*4500</f>
        <v>144000</v>
      </c>
      <c r="D8" s="16" t="n">
        <v>0.15</v>
      </c>
      <c r="E8" s="10" t="s">
        <v>371</v>
      </c>
      <c r="F8" s="10" t="s">
        <v>372</v>
      </c>
    </row>
    <row r="9" customFormat="false" ht="32.8" hidden="false" customHeight="false" outlineLevel="0" collapsed="false">
      <c r="A9" s="10" t="s">
        <v>373</v>
      </c>
      <c r="B9" s="14" t="n">
        <v>22</v>
      </c>
      <c r="C9" s="15" t="n">
        <f aca="false">B9*4500</f>
        <v>99000</v>
      </c>
      <c r="D9" s="16" t="n">
        <v>0.1</v>
      </c>
      <c r="E9" s="10" t="s">
        <v>374</v>
      </c>
      <c r="F9" s="10" t="s">
        <v>375</v>
      </c>
    </row>
    <row r="10" customFormat="false" ht="22.35" hidden="false" customHeight="false" outlineLevel="0" collapsed="false">
      <c r="A10" s="10" t="s">
        <v>376</v>
      </c>
      <c r="B10" s="14" t="n">
        <v>75</v>
      </c>
      <c r="C10" s="15" t="n">
        <f aca="false">B10*4500</f>
        <v>337500</v>
      </c>
      <c r="D10" s="16" t="n">
        <v>0.25</v>
      </c>
      <c r="E10" s="10" t="s">
        <v>377</v>
      </c>
      <c r="F10" s="10" t="s">
        <v>378</v>
      </c>
    </row>
    <row r="11" customFormat="false" ht="22.35" hidden="false" customHeight="false" outlineLevel="0" collapsed="false">
      <c r="A11" s="10" t="s">
        <v>379</v>
      </c>
      <c r="B11" s="14" t="n">
        <v>75</v>
      </c>
      <c r="C11" s="15" t="n">
        <f aca="false">B11*4500</f>
        <v>337500</v>
      </c>
      <c r="D11" s="16" t="n">
        <v>0.25</v>
      </c>
      <c r="E11" s="10" t="s">
        <v>380</v>
      </c>
      <c r="F11" s="10" t="s">
        <v>381</v>
      </c>
    </row>
    <row r="12" customFormat="false" ht="22.35" hidden="false" customHeight="false" outlineLevel="0" collapsed="false">
      <c r="A12" s="10" t="s">
        <v>382</v>
      </c>
      <c r="B12" s="14" t="n">
        <v>35</v>
      </c>
      <c r="C12" s="15" t="n">
        <f aca="false">B12*4500</f>
        <v>157500</v>
      </c>
      <c r="D12" s="16" t="n">
        <v>0.15</v>
      </c>
      <c r="E12" s="10" t="s">
        <v>383</v>
      </c>
      <c r="F12" s="10" t="s">
        <v>384</v>
      </c>
    </row>
    <row r="13" customFormat="false" ht="32.8" hidden="false" customHeight="false" outlineLevel="0" collapsed="false">
      <c r="A13" s="10" t="s">
        <v>385</v>
      </c>
      <c r="B13" s="14" t="n">
        <v>18</v>
      </c>
      <c r="C13" s="15" t="n">
        <f aca="false">B13*4500</f>
        <v>81000</v>
      </c>
      <c r="D13" s="16" t="n">
        <v>0.25</v>
      </c>
      <c r="E13" s="10" t="s">
        <v>386</v>
      </c>
      <c r="F13" s="10" t="s">
        <v>387</v>
      </c>
    </row>
    <row r="14" customFormat="false" ht="22.35" hidden="false" customHeight="false" outlineLevel="0" collapsed="false">
      <c r="A14" s="10" t="s">
        <v>388</v>
      </c>
      <c r="B14" s="14" t="n">
        <v>14</v>
      </c>
      <c r="C14" s="15" t="n">
        <f aca="false">B14*4500</f>
        <v>63000</v>
      </c>
      <c r="D14" s="16" t="n">
        <v>0.15</v>
      </c>
      <c r="E14" s="10" t="s">
        <v>389</v>
      </c>
      <c r="F14" s="10" t="s">
        <v>390</v>
      </c>
    </row>
    <row r="15" customFormat="false" ht="22.35" hidden="false" customHeight="false" outlineLevel="0" collapsed="false">
      <c r="A15" s="10" t="s">
        <v>391</v>
      </c>
      <c r="B15" s="14" t="n">
        <v>12</v>
      </c>
      <c r="C15" s="15" t="n">
        <f aca="false">B15*4500</f>
        <v>54000</v>
      </c>
      <c r="D15" s="16" t="n">
        <v>0.15</v>
      </c>
      <c r="E15" s="10" t="s">
        <v>392</v>
      </c>
      <c r="F15" s="10" t="s">
        <v>393</v>
      </c>
    </row>
    <row r="16" customFormat="false" ht="32.8" hidden="false" customHeight="false" outlineLevel="0" collapsed="false">
      <c r="A16" s="10" t="s">
        <v>394</v>
      </c>
      <c r="B16" s="14" t="n">
        <v>28</v>
      </c>
      <c r="C16" s="15" t="n">
        <f aca="false">B16*4500</f>
        <v>126000</v>
      </c>
      <c r="D16" s="16" t="n">
        <v>0.35</v>
      </c>
      <c r="E16" s="10" t="s">
        <v>395</v>
      </c>
      <c r="F16" s="10" t="s">
        <v>396</v>
      </c>
    </row>
    <row r="17" customFormat="false" ht="32.8" hidden="false" customHeight="false" outlineLevel="0" collapsed="false">
      <c r="A17" s="10" t="s">
        <v>397</v>
      </c>
      <c r="B17" s="14" t="n">
        <v>40</v>
      </c>
      <c r="C17" s="15" t="n">
        <f aca="false">B17*4500</f>
        <v>180000</v>
      </c>
      <c r="D17" s="16" t="n">
        <v>0.25</v>
      </c>
      <c r="E17" s="10" t="s">
        <v>398</v>
      </c>
      <c r="F17" s="10" t="s">
        <v>399</v>
      </c>
    </row>
    <row r="18" customFormat="false" ht="22.35" hidden="false" customHeight="false" outlineLevel="0" collapsed="false">
      <c r="A18" s="10" t="s">
        <v>400</v>
      </c>
      <c r="B18" s="14" t="n">
        <v>22</v>
      </c>
      <c r="C18" s="15" t="n">
        <f aca="false">B18*4500</f>
        <v>99000</v>
      </c>
      <c r="D18" s="16" t="n">
        <v>0.25</v>
      </c>
      <c r="E18" s="10" t="s">
        <v>401</v>
      </c>
      <c r="F18" s="10" t="s">
        <v>402</v>
      </c>
    </row>
    <row r="19" customFormat="false" ht="22.35" hidden="false" customHeight="false" outlineLevel="0" collapsed="false">
      <c r="A19" s="10" t="s">
        <v>403</v>
      </c>
      <c r="B19" s="14" t="n">
        <v>8</v>
      </c>
      <c r="C19" s="15" t="n">
        <f aca="false">B19*4500</f>
        <v>36000</v>
      </c>
      <c r="D19" s="16" t="n">
        <v>0.05</v>
      </c>
      <c r="E19" s="10" t="s">
        <v>404</v>
      </c>
      <c r="F19" s="10" t="s">
        <v>405</v>
      </c>
    </row>
    <row r="20" customFormat="false" ht="32.8" hidden="false" customHeight="false" outlineLevel="0" collapsed="false">
      <c r="A20" s="10" t="s">
        <v>406</v>
      </c>
      <c r="B20" s="14" t="n">
        <v>22</v>
      </c>
      <c r="C20" s="15" t="n">
        <f aca="false">B20*4500</f>
        <v>99000</v>
      </c>
      <c r="D20" s="16" t="n">
        <v>0.2</v>
      </c>
      <c r="E20" s="10" t="s">
        <v>407</v>
      </c>
      <c r="F20" s="10" t="s">
        <v>408</v>
      </c>
    </row>
    <row r="21" customFormat="false" ht="22.35" hidden="false" customHeight="false" outlineLevel="0" collapsed="false">
      <c r="A21" s="10" t="s">
        <v>409</v>
      </c>
      <c r="B21" s="14" t="n">
        <v>22</v>
      </c>
      <c r="C21" s="15" t="n">
        <f aca="false">B21*4500</f>
        <v>99000</v>
      </c>
      <c r="D21" s="16" t="n">
        <v>0.25</v>
      </c>
      <c r="E21" s="10" t="s">
        <v>410</v>
      </c>
      <c r="F21" s="10" t="s">
        <v>411</v>
      </c>
    </row>
    <row r="22" customFormat="false" ht="22.35" hidden="false" customHeight="false" outlineLevel="0" collapsed="false">
      <c r="A22" s="10" t="s">
        <v>412</v>
      </c>
      <c r="B22" s="14" t="n">
        <v>30</v>
      </c>
      <c r="C22" s="15" t="n">
        <f aca="false">B22*4500</f>
        <v>135000</v>
      </c>
      <c r="D22" s="16" t="n">
        <v>0.1</v>
      </c>
      <c r="E22" s="10" t="s">
        <v>413</v>
      </c>
      <c r="F22" s="10" t="s">
        <v>414</v>
      </c>
    </row>
    <row r="23" customFormat="false" ht="22.35" hidden="false" customHeight="false" outlineLevel="0" collapsed="false">
      <c r="A23" s="10" t="s">
        <v>415</v>
      </c>
      <c r="B23" s="14" t="n">
        <v>25</v>
      </c>
      <c r="C23" s="15" t="n">
        <f aca="false">B23*4500</f>
        <v>112500</v>
      </c>
      <c r="D23" s="16" t="n">
        <v>0.15</v>
      </c>
      <c r="E23" s="10" t="s">
        <v>416</v>
      </c>
      <c r="F23" s="10" t="s">
        <v>417</v>
      </c>
    </row>
    <row r="24" customFormat="false" ht="22.35" hidden="false" customHeight="false" outlineLevel="0" collapsed="false">
      <c r="A24" s="10" t="s">
        <v>418</v>
      </c>
      <c r="B24" s="14" t="n">
        <v>28</v>
      </c>
      <c r="C24" s="15" t="n">
        <f aca="false">B24*4500</f>
        <v>126000</v>
      </c>
      <c r="D24" s="16" t="n">
        <v>0.15</v>
      </c>
      <c r="E24" s="10" t="s">
        <v>419</v>
      </c>
      <c r="F24" s="10" t="s">
        <v>420</v>
      </c>
    </row>
    <row r="25" customFormat="false" ht="22.35" hidden="false" customHeight="false" outlineLevel="0" collapsed="false">
      <c r="A25" s="10" t="s">
        <v>421</v>
      </c>
      <c r="B25" s="14" t="n">
        <v>15</v>
      </c>
      <c r="C25" s="15" t="n">
        <f aca="false">B25*4500</f>
        <v>67500</v>
      </c>
      <c r="D25" s="16" t="n">
        <v>0.25</v>
      </c>
      <c r="E25" s="10" t="s">
        <v>422</v>
      </c>
      <c r="F25" s="10" t="s">
        <v>423</v>
      </c>
    </row>
    <row r="26" customFormat="false" ht="43.25" hidden="false" customHeight="false" outlineLevel="0" collapsed="false">
      <c r="A26" s="10" t="s">
        <v>424</v>
      </c>
      <c r="B26" s="14" t="n">
        <v>18</v>
      </c>
      <c r="C26" s="15" t="n">
        <f aca="false">B26*4500</f>
        <v>81000</v>
      </c>
      <c r="D26" s="16" t="n">
        <v>0.4</v>
      </c>
      <c r="E26" s="10" t="s">
        <v>425</v>
      </c>
      <c r="F26" s="10" t="s">
        <v>426</v>
      </c>
    </row>
    <row r="27" customFormat="false" ht="22.35" hidden="false" customHeight="false" outlineLevel="0" collapsed="false">
      <c r="A27" s="10" t="s">
        <v>427</v>
      </c>
      <c r="B27" s="14" t="n">
        <v>15</v>
      </c>
      <c r="C27" s="15" t="n">
        <f aca="false">B27*4500</f>
        <v>67500</v>
      </c>
      <c r="D27" s="16" t="n">
        <v>0.05</v>
      </c>
      <c r="E27" s="10" t="s">
        <v>428</v>
      </c>
      <c r="F27" s="10" t="s">
        <v>429</v>
      </c>
    </row>
    <row r="28" customFormat="false" ht="22.35" hidden="false" customHeight="false" outlineLevel="0" collapsed="false">
      <c r="A28" s="10" t="s">
        <v>430</v>
      </c>
      <c r="B28" s="14" t="n">
        <v>10</v>
      </c>
      <c r="C28" s="15" t="n">
        <f aca="false">B28*4500</f>
        <v>45000</v>
      </c>
      <c r="D28" s="16" t="n">
        <v>0.05</v>
      </c>
      <c r="E28" s="10" t="s">
        <v>431</v>
      </c>
      <c r="F28" s="10" t="s">
        <v>432</v>
      </c>
    </row>
    <row r="29" customFormat="false" ht="22.35" hidden="false" customHeight="false" outlineLevel="0" collapsed="false">
      <c r="A29" s="10" t="s">
        <v>433</v>
      </c>
      <c r="B29" s="14" t="n">
        <v>28</v>
      </c>
      <c r="C29" s="15" t="n">
        <f aca="false">B29*4500</f>
        <v>126000</v>
      </c>
      <c r="D29" s="16" t="n">
        <v>0.2</v>
      </c>
      <c r="E29" s="10" t="s">
        <v>434</v>
      </c>
      <c r="F29" s="10" t="s">
        <v>435</v>
      </c>
    </row>
    <row r="30" customFormat="false" ht="22.35" hidden="false" customHeight="false" outlineLevel="0" collapsed="false">
      <c r="A30" s="10" t="s">
        <v>436</v>
      </c>
      <c r="B30" s="14" t="n">
        <v>18</v>
      </c>
      <c r="C30" s="15" t="n">
        <f aca="false">B30*4500</f>
        <v>81000</v>
      </c>
      <c r="D30" s="16" t="n">
        <v>0.15</v>
      </c>
      <c r="E30" s="10" t="s">
        <v>437</v>
      </c>
      <c r="F30" s="10" t="s">
        <v>438</v>
      </c>
    </row>
    <row r="31" customFormat="false" ht="32.8" hidden="false" customHeight="false" outlineLevel="0" collapsed="false">
      <c r="A31" s="10" t="s">
        <v>439</v>
      </c>
      <c r="B31" s="14" t="n">
        <v>110</v>
      </c>
      <c r="C31" s="15" t="n">
        <f aca="false">B31*4500</f>
        <v>495000</v>
      </c>
      <c r="D31" s="16" t="n">
        <v>0.25</v>
      </c>
      <c r="E31" s="10" t="s">
        <v>440</v>
      </c>
      <c r="F31" s="10" t="s">
        <v>441</v>
      </c>
    </row>
    <row r="32" customFormat="false" ht="15" hidden="false" customHeight="false" outlineLevel="0" collapsed="false">
      <c r="A32" s="17" t="s">
        <v>442</v>
      </c>
      <c r="B32" s="18" t="n">
        <f aca="false">SUM(B6:B30)</f>
        <v>662</v>
      </c>
      <c r="C32" s="19" t="n">
        <f aca="false">SUM(C6:C30)</f>
        <v>2979000</v>
      </c>
      <c r="D32" s="20" t="n">
        <f aca="false">SUMPRODUCT(B6:B30,D6:D30)/SUM(B6:B30)</f>
        <v>0.202567975830816</v>
      </c>
      <c r="E32" s="17" t="s">
        <v>443</v>
      </c>
      <c r="F32" s="17" t="s">
        <v>444</v>
      </c>
    </row>
    <row r="33" customFormat="false" ht="15" hidden="false" customHeight="false" outlineLevel="0" collapsed="false">
      <c r="A33" s="21" t="s">
        <v>445</v>
      </c>
      <c r="B33" s="22" t="n">
        <f aca="false">ROUND(B32*0.2,0)</f>
        <v>132</v>
      </c>
      <c r="C33" s="23" t="n">
        <f aca="false">B33*4500</f>
        <v>594000</v>
      </c>
      <c r="D33" s="21"/>
      <c r="E33" s="21" t="s">
        <v>446</v>
      </c>
      <c r="F33" s="21"/>
    </row>
    <row r="34" customFormat="false" ht="15" hidden="false" customHeight="false" outlineLevel="0" collapsed="false">
      <c r="A34" s="24" t="s">
        <v>447</v>
      </c>
      <c r="B34" s="24" t="n">
        <f aca="false">B32+B33</f>
        <v>794</v>
      </c>
      <c r="C34" s="25" t="n">
        <f aca="false">C32+C33</f>
        <v>3573000</v>
      </c>
      <c r="D34" s="24"/>
      <c r="E34" s="24"/>
      <c r="F34" s="24"/>
    </row>
    <row r="35" customFormat="false" ht="43.25" hidden="false" customHeight="false" outlineLevel="0" collapsed="false">
      <c r="A35" s="26" t="s">
        <v>448</v>
      </c>
      <c r="B35" s="26"/>
      <c r="C35" s="26" t="str">
        <f aca="false">IF(C34&lt;1429068.009, "SUB buget min (1,429,068) - revizuim crescator", IF(C34&gt;2858136.018, "PESTE buget max (2,858,136) - revizuim descrescator", "IN BUGET"))</f>
        <v>PESTE buget max (2,858,136) - revizuim descrescator</v>
      </c>
      <c r="D35" s="26"/>
      <c r="E35" s="26"/>
      <c r="F35" s="26"/>
    </row>
  </sheetData>
  <mergeCells count="3">
    <mergeCell ref="A1:F1"/>
    <mergeCell ref="A2:F2"/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10"/>
    <col collapsed="false" customWidth="true" hidden="false" outlineLevel="0" max="5" min="5" style="0" width="55"/>
    <col collapsed="false" customWidth="true" hidden="false" outlineLevel="0" max="6" min="6" style="0" width="50"/>
  </cols>
  <sheetData>
    <row r="1" customFormat="false" ht="15" hidden="false" customHeight="false" outlineLevel="0" collapsed="false">
      <c r="A1" s="11" t="s">
        <v>449</v>
      </c>
      <c r="B1" s="11"/>
      <c r="C1" s="11"/>
      <c r="D1" s="11"/>
      <c r="E1" s="11"/>
      <c r="F1" s="11"/>
    </row>
    <row r="2" customFormat="false" ht="49.5" hidden="false" customHeight="true" outlineLevel="0" collapsed="false">
      <c r="A2" s="12" t="s">
        <v>450</v>
      </c>
      <c r="B2" s="12"/>
      <c r="C2" s="12"/>
      <c r="D2" s="12"/>
      <c r="E2" s="12"/>
      <c r="F2" s="12"/>
    </row>
    <row r="3" customFormat="false" ht="39.75" hidden="false" customHeight="true" outlineLevel="0" collapsed="false">
      <c r="A3" s="13" t="s">
        <v>451</v>
      </c>
      <c r="B3" s="13"/>
      <c r="C3" s="13"/>
      <c r="D3" s="13"/>
      <c r="E3" s="13"/>
      <c r="F3" s="13"/>
    </row>
    <row r="5" customFormat="false" ht="27.75" hidden="false" customHeight="true" outlineLevel="0" collapsed="false">
      <c r="A5" s="1" t="s">
        <v>358</v>
      </c>
      <c r="B5" s="1" t="s">
        <v>359</v>
      </c>
      <c r="C5" s="1" t="s">
        <v>360</v>
      </c>
      <c r="D5" s="1" t="s">
        <v>361</v>
      </c>
      <c r="E5" s="1" t="s">
        <v>362</v>
      </c>
      <c r="F5" s="1" t="s">
        <v>363</v>
      </c>
    </row>
    <row r="6" customFormat="false" ht="32.8" hidden="false" customHeight="false" outlineLevel="0" collapsed="false">
      <c r="A6" s="10" t="s">
        <v>452</v>
      </c>
      <c r="B6" s="14" t="n">
        <v>15</v>
      </c>
      <c r="C6" s="15" t="n">
        <f aca="false">B6*4500</f>
        <v>67500</v>
      </c>
      <c r="D6" s="16" t="n">
        <v>0.25</v>
      </c>
      <c r="E6" s="10" t="s">
        <v>453</v>
      </c>
      <c r="F6" s="10" t="s">
        <v>454</v>
      </c>
    </row>
    <row r="7" customFormat="false" ht="32.8" hidden="false" customHeight="false" outlineLevel="0" collapsed="false">
      <c r="A7" s="10" t="s">
        <v>455</v>
      </c>
      <c r="B7" s="14" t="n">
        <v>22</v>
      </c>
      <c r="C7" s="15" t="n">
        <f aca="false">B7*4500</f>
        <v>99000</v>
      </c>
      <c r="D7" s="16" t="n">
        <v>0.3</v>
      </c>
      <c r="E7" s="10" t="s">
        <v>456</v>
      </c>
      <c r="F7" s="10" t="s">
        <v>457</v>
      </c>
    </row>
    <row r="8" customFormat="false" ht="32.8" hidden="false" customHeight="false" outlineLevel="0" collapsed="false">
      <c r="A8" s="10" t="s">
        <v>458</v>
      </c>
      <c r="B8" s="14" t="n">
        <v>12</v>
      </c>
      <c r="C8" s="15" t="n">
        <f aca="false">B8*4500</f>
        <v>54000</v>
      </c>
      <c r="D8" s="16" t="n">
        <v>0.1</v>
      </c>
      <c r="E8" s="10" t="s">
        <v>459</v>
      </c>
      <c r="F8" s="10" t="s">
        <v>460</v>
      </c>
    </row>
    <row r="9" customFormat="false" ht="32.8" hidden="false" customHeight="false" outlineLevel="0" collapsed="false">
      <c r="A9" s="10" t="s">
        <v>461</v>
      </c>
      <c r="B9" s="14" t="n">
        <v>10</v>
      </c>
      <c r="C9" s="15" t="n">
        <f aca="false">B9*4500</f>
        <v>45000</v>
      </c>
      <c r="D9" s="16" t="n">
        <v>0.15</v>
      </c>
      <c r="E9" s="10" t="s">
        <v>462</v>
      </c>
      <c r="F9" s="10" t="s">
        <v>463</v>
      </c>
    </row>
    <row r="10" customFormat="false" ht="22.35" hidden="false" customHeight="false" outlineLevel="0" collapsed="false">
      <c r="A10" s="10" t="s">
        <v>464</v>
      </c>
      <c r="B10" s="14" t="n">
        <v>14</v>
      </c>
      <c r="C10" s="15" t="n">
        <f aca="false">B10*4500</f>
        <v>63000</v>
      </c>
      <c r="D10" s="16" t="n">
        <v>0.15</v>
      </c>
      <c r="E10" s="10" t="s">
        <v>465</v>
      </c>
      <c r="F10" s="10" t="s">
        <v>466</v>
      </c>
    </row>
    <row r="11" customFormat="false" ht="32.8" hidden="false" customHeight="false" outlineLevel="0" collapsed="false">
      <c r="A11" s="10" t="s">
        <v>467</v>
      </c>
      <c r="B11" s="14" t="n">
        <v>30</v>
      </c>
      <c r="C11" s="15" t="n">
        <f aca="false">B11*4500</f>
        <v>135000</v>
      </c>
      <c r="D11" s="16" t="n">
        <v>0.25</v>
      </c>
      <c r="E11" s="10" t="s">
        <v>468</v>
      </c>
      <c r="F11" s="10" t="s">
        <v>469</v>
      </c>
    </row>
    <row r="12" customFormat="false" ht="22.35" hidden="false" customHeight="false" outlineLevel="0" collapsed="false">
      <c r="A12" s="10" t="s">
        <v>470</v>
      </c>
      <c r="B12" s="14" t="n">
        <v>25</v>
      </c>
      <c r="C12" s="15" t="n">
        <f aca="false">B12*4500</f>
        <v>112500</v>
      </c>
      <c r="D12" s="16" t="n">
        <v>0.25</v>
      </c>
      <c r="E12" s="10" t="s">
        <v>471</v>
      </c>
      <c r="F12" s="10" t="s">
        <v>472</v>
      </c>
    </row>
    <row r="13" customFormat="false" ht="32.8" hidden="false" customHeight="false" outlineLevel="0" collapsed="false">
      <c r="A13" s="10" t="s">
        <v>473</v>
      </c>
      <c r="B13" s="14" t="n">
        <v>18</v>
      </c>
      <c r="C13" s="15" t="n">
        <f aca="false">B13*4500</f>
        <v>81000</v>
      </c>
      <c r="D13" s="16" t="n">
        <v>0.2</v>
      </c>
      <c r="E13" s="10" t="s">
        <v>474</v>
      </c>
      <c r="F13" s="10" t="s">
        <v>475</v>
      </c>
    </row>
    <row r="14" customFormat="false" ht="22.35" hidden="false" customHeight="false" outlineLevel="0" collapsed="false">
      <c r="A14" s="10" t="s">
        <v>476</v>
      </c>
      <c r="B14" s="14" t="n">
        <v>14</v>
      </c>
      <c r="C14" s="15" t="n">
        <f aca="false">B14*4500</f>
        <v>63000</v>
      </c>
      <c r="D14" s="16" t="n">
        <v>0.15</v>
      </c>
      <c r="E14" s="10" t="s">
        <v>477</v>
      </c>
      <c r="F14" s="10" t="s">
        <v>478</v>
      </c>
    </row>
    <row r="15" customFormat="false" ht="22.35" hidden="false" customHeight="false" outlineLevel="0" collapsed="false">
      <c r="A15" s="10" t="s">
        <v>479</v>
      </c>
      <c r="B15" s="14" t="n">
        <v>8</v>
      </c>
      <c r="C15" s="15" t="n">
        <f aca="false">B15*4500</f>
        <v>36000</v>
      </c>
      <c r="D15" s="16" t="n">
        <v>0.1</v>
      </c>
      <c r="E15" s="10" t="s">
        <v>480</v>
      </c>
      <c r="F15" s="10" t="s">
        <v>481</v>
      </c>
    </row>
    <row r="16" customFormat="false" ht="22.35" hidden="false" customHeight="false" outlineLevel="0" collapsed="false">
      <c r="A16" s="10" t="s">
        <v>482</v>
      </c>
      <c r="B16" s="14" t="n">
        <v>22</v>
      </c>
      <c r="C16" s="15" t="n">
        <f aca="false">B16*4500</f>
        <v>99000</v>
      </c>
      <c r="D16" s="16" t="n">
        <v>0.2</v>
      </c>
      <c r="E16" s="10" t="s">
        <v>483</v>
      </c>
      <c r="F16" s="10" t="s">
        <v>484</v>
      </c>
    </row>
    <row r="17" customFormat="false" ht="22.35" hidden="false" customHeight="false" outlineLevel="0" collapsed="false">
      <c r="A17" s="10" t="s">
        <v>485</v>
      </c>
      <c r="B17" s="14" t="n">
        <v>14</v>
      </c>
      <c r="C17" s="15" t="n">
        <f aca="false">B17*4500</f>
        <v>63000</v>
      </c>
      <c r="D17" s="16" t="n">
        <v>0.15</v>
      </c>
      <c r="E17" s="10" t="s">
        <v>486</v>
      </c>
      <c r="F17" s="10" t="s">
        <v>487</v>
      </c>
    </row>
    <row r="18" customFormat="false" ht="32.8" hidden="false" customHeight="false" outlineLevel="0" collapsed="false">
      <c r="A18" s="10" t="s">
        <v>488</v>
      </c>
      <c r="B18" s="14" t="n">
        <v>18</v>
      </c>
      <c r="C18" s="15" t="n">
        <f aca="false">B18*4500</f>
        <v>81000</v>
      </c>
      <c r="D18" s="16" t="n">
        <v>0.25</v>
      </c>
      <c r="E18" s="10" t="s">
        <v>489</v>
      </c>
      <c r="F18" s="10" t="s">
        <v>490</v>
      </c>
    </row>
    <row r="19" customFormat="false" ht="22.35" hidden="false" customHeight="false" outlineLevel="0" collapsed="false">
      <c r="A19" s="10" t="s">
        <v>491</v>
      </c>
      <c r="B19" s="14" t="n">
        <v>10</v>
      </c>
      <c r="C19" s="15" t="n">
        <f aca="false">B19*4500</f>
        <v>45000</v>
      </c>
      <c r="D19" s="16" t="n">
        <v>0.1</v>
      </c>
      <c r="E19" s="10" t="s">
        <v>492</v>
      </c>
      <c r="F19" s="10" t="s">
        <v>493</v>
      </c>
    </row>
    <row r="20" customFormat="false" ht="32.8" hidden="false" customHeight="false" outlineLevel="0" collapsed="false">
      <c r="A20" s="10" t="s">
        <v>494</v>
      </c>
      <c r="B20" s="14" t="n">
        <v>28</v>
      </c>
      <c r="C20" s="15" t="n">
        <f aca="false">B20*4500</f>
        <v>126000</v>
      </c>
      <c r="D20" s="16" t="n">
        <v>0.15</v>
      </c>
      <c r="E20" s="10" t="s">
        <v>495</v>
      </c>
      <c r="F20" s="10" t="s">
        <v>496</v>
      </c>
    </row>
    <row r="21" customFormat="false" ht="32.8" hidden="false" customHeight="false" outlineLevel="0" collapsed="false">
      <c r="A21" s="10" t="s">
        <v>497</v>
      </c>
      <c r="B21" s="14" t="n">
        <v>18</v>
      </c>
      <c r="C21" s="15" t="n">
        <f aca="false">B21*4500</f>
        <v>81000</v>
      </c>
      <c r="D21" s="16" t="n">
        <v>0.2</v>
      </c>
      <c r="E21" s="10" t="s">
        <v>498</v>
      </c>
      <c r="F21" s="10" t="s">
        <v>499</v>
      </c>
    </row>
    <row r="22" customFormat="false" ht="43.25" hidden="false" customHeight="false" outlineLevel="0" collapsed="false">
      <c r="A22" s="10" t="s">
        <v>500</v>
      </c>
      <c r="B22" s="14" t="n">
        <v>45</v>
      </c>
      <c r="C22" s="15" t="n">
        <f aca="false">B22*4500</f>
        <v>202500</v>
      </c>
      <c r="D22" s="16" t="n">
        <v>0.45</v>
      </c>
      <c r="E22" s="10" t="s">
        <v>501</v>
      </c>
      <c r="F22" s="10" t="s">
        <v>502</v>
      </c>
    </row>
    <row r="23" customFormat="false" ht="22.35" hidden="false" customHeight="false" outlineLevel="0" collapsed="false">
      <c r="A23" s="10" t="s">
        <v>503</v>
      </c>
      <c r="B23" s="14" t="n">
        <v>12</v>
      </c>
      <c r="C23" s="15" t="n">
        <f aca="false">B23*4500</f>
        <v>54000</v>
      </c>
      <c r="D23" s="16" t="n">
        <v>0.15</v>
      </c>
      <c r="E23" s="10" t="s">
        <v>504</v>
      </c>
      <c r="F23" s="10" t="s">
        <v>505</v>
      </c>
    </row>
    <row r="24" customFormat="false" ht="22.35" hidden="false" customHeight="false" outlineLevel="0" collapsed="false">
      <c r="A24" s="10" t="s">
        <v>506</v>
      </c>
      <c r="B24" s="14" t="n">
        <v>12</v>
      </c>
      <c r="C24" s="15" t="n">
        <f aca="false">B24*4500</f>
        <v>54000</v>
      </c>
      <c r="D24" s="16" t="n">
        <v>0.05</v>
      </c>
      <c r="E24" s="10" t="s">
        <v>507</v>
      </c>
      <c r="F24" s="10" t="s">
        <v>508</v>
      </c>
    </row>
    <row r="25" customFormat="false" ht="22.35" hidden="false" customHeight="false" outlineLevel="0" collapsed="false">
      <c r="A25" s="10" t="s">
        <v>509</v>
      </c>
      <c r="B25" s="14" t="n">
        <v>8</v>
      </c>
      <c r="C25" s="15" t="n">
        <f aca="false">B25*4500</f>
        <v>36000</v>
      </c>
      <c r="D25" s="16" t="n">
        <v>0.05</v>
      </c>
      <c r="E25" s="10" t="s">
        <v>510</v>
      </c>
      <c r="F25" s="10" t="s">
        <v>511</v>
      </c>
    </row>
    <row r="26" customFormat="false" ht="22.35" hidden="false" customHeight="false" outlineLevel="0" collapsed="false">
      <c r="A26" s="10" t="s">
        <v>512</v>
      </c>
      <c r="B26" s="14" t="n">
        <v>22</v>
      </c>
      <c r="C26" s="15" t="n">
        <f aca="false">B26*4500</f>
        <v>99000</v>
      </c>
      <c r="D26" s="16" t="n">
        <v>0.25</v>
      </c>
      <c r="E26" s="10" t="s">
        <v>513</v>
      </c>
      <c r="F26" s="10" t="s">
        <v>514</v>
      </c>
    </row>
    <row r="27" customFormat="false" ht="22.35" hidden="false" customHeight="false" outlineLevel="0" collapsed="false">
      <c r="A27" s="10" t="s">
        <v>515</v>
      </c>
      <c r="B27" s="14" t="n">
        <v>18</v>
      </c>
      <c r="C27" s="15" t="n">
        <f aca="false">B27*4500</f>
        <v>81000</v>
      </c>
      <c r="D27" s="16" t="n">
        <v>0.25</v>
      </c>
      <c r="E27" s="10" t="s">
        <v>516</v>
      </c>
      <c r="F27" s="10" t="s">
        <v>517</v>
      </c>
    </row>
    <row r="28" customFormat="false" ht="22.35" hidden="false" customHeight="false" outlineLevel="0" collapsed="false">
      <c r="A28" s="10" t="s">
        <v>518</v>
      </c>
      <c r="B28" s="14" t="n">
        <v>14</v>
      </c>
      <c r="C28" s="15" t="n">
        <f aca="false">B28*4500</f>
        <v>63000</v>
      </c>
      <c r="D28" s="16" t="n">
        <v>0.15</v>
      </c>
      <c r="E28" s="10" t="s">
        <v>519</v>
      </c>
      <c r="F28" s="10" t="s">
        <v>520</v>
      </c>
    </row>
    <row r="29" customFormat="false" ht="32.8" hidden="false" customHeight="false" outlineLevel="0" collapsed="false">
      <c r="A29" s="10" t="s">
        <v>521</v>
      </c>
      <c r="B29" s="14" t="n">
        <v>80</v>
      </c>
      <c r="C29" s="15" t="n">
        <f aca="false">B29*4500</f>
        <v>360000</v>
      </c>
      <c r="D29" s="16" t="n">
        <v>0.2</v>
      </c>
      <c r="E29" s="10" t="s">
        <v>522</v>
      </c>
      <c r="F29" s="10" t="s">
        <v>523</v>
      </c>
    </row>
    <row r="30" customFormat="false" ht="15" hidden="false" customHeight="false" outlineLevel="0" collapsed="false">
      <c r="A30" s="17" t="s">
        <v>442</v>
      </c>
      <c r="B30" s="18" t="n">
        <f aca="false">SUM(B6:B28)</f>
        <v>409</v>
      </c>
      <c r="C30" s="19" t="n">
        <f aca="false">SUM(C6:C28)</f>
        <v>1840500</v>
      </c>
      <c r="D30" s="20" t="n">
        <f aca="false">SUMPRODUCT(B6:B28,D6:D28)/SUM(B6:B28)</f>
        <v>0.220904645476773</v>
      </c>
      <c r="E30" s="17" t="s">
        <v>443</v>
      </c>
      <c r="F30" s="17" t="s">
        <v>444</v>
      </c>
    </row>
    <row r="31" customFormat="false" ht="15" hidden="false" customHeight="false" outlineLevel="0" collapsed="false">
      <c r="A31" s="21" t="s">
        <v>445</v>
      </c>
      <c r="B31" s="22" t="n">
        <f aca="false">ROUND(B30*0.2,0)</f>
        <v>82</v>
      </c>
      <c r="C31" s="23" t="n">
        <f aca="false">B31*4500</f>
        <v>369000</v>
      </c>
      <c r="D31" s="21"/>
      <c r="E31" s="21" t="s">
        <v>446</v>
      </c>
      <c r="F31" s="21"/>
    </row>
    <row r="32" customFormat="false" ht="15" hidden="false" customHeight="false" outlineLevel="0" collapsed="false">
      <c r="A32" s="24" t="s">
        <v>447</v>
      </c>
      <c r="B32" s="24" t="n">
        <f aca="false">B30+B31</f>
        <v>491</v>
      </c>
      <c r="C32" s="25" t="n">
        <f aca="false">C30+C31</f>
        <v>2209500</v>
      </c>
      <c r="D32" s="24"/>
      <c r="E32" s="24"/>
      <c r="F32" s="24"/>
    </row>
    <row r="33" customFormat="false" ht="43.25" hidden="false" customHeight="false" outlineLevel="0" collapsed="false">
      <c r="A33" s="26" t="s">
        <v>524</v>
      </c>
      <c r="B33" s="26"/>
      <c r="C33" s="26" t="str">
        <f aca="false">IF(C32&lt;762169.6048, "SUB buget min (762,170) - revizuim crescator", IF(C32&gt;1429068.009, "PESTE buget max (1,429,068) - revizuim descrescator", "IN BUGET"))</f>
        <v>PESTE buget max (1,429,068) - revizuim descrescator</v>
      </c>
      <c r="D33" s="26"/>
      <c r="E33" s="26"/>
      <c r="F33" s="26"/>
    </row>
  </sheetData>
  <mergeCells count="3">
    <mergeCell ref="A1:F1"/>
    <mergeCell ref="A2:F2"/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10"/>
    <col collapsed="false" customWidth="true" hidden="false" outlineLevel="0" max="5" min="5" style="0" width="55"/>
    <col collapsed="false" customWidth="true" hidden="false" outlineLevel="0" max="6" min="6" style="0" width="50"/>
  </cols>
  <sheetData>
    <row r="1" customFormat="false" ht="15" hidden="false" customHeight="false" outlineLevel="0" collapsed="false">
      <c r="A1" s="11" t="s">
        <v>525</v>
      </c>
      <c r="B1" s="11"/>
      <c r="C1" s="11"/>
      <c r="D1" s="11"/>
      <c r="E1" s="11"/>
      <c r="F1" s="11"/>
    </row>
    <row r="2" customFormat="false" ht="49.5" hidden="false" customHeight="true" outlineLevel="0" collapsed="false">
      <c r="A2" s="12" t="s">
        <v>526</v>
      </c>
      <c r="B2" s="12"/>
      <c r="C2" s="12"/>
      <c r="D2" s="12"/>
      <c r="E2" s="12"/>
      <c r="F2" s="12"/>
    </row>
    <row r="3" customFormat="false" ht="39.75" hidden="false" customHeight="true" outlineLevel="0" collapsed="false">
      <c r="A3" s="13" t="s">
        <v>527</v>
      </c>
      <c r="B3" s="13"/>
      <c r="C3" s="13"/>
      <c r="D3" s="13"/>
      <c r="E3" s="13"/>
      <c r="F3" s="13"/>
    </row>
    <row r="5" customFormat="false" ht="27.75" hidden="false" customHeight="true" outlineLevel="0" collapsed="false">
      <c r="A5" s="1" t="s">
        <v>358</v>
      </c>
      <c r="B5" s="1" t="s">
        <v>359</v>
      </c>
      <c r="C5" s="1" t="s">
        <v>360</v>
      </c>
      <c r="D5" s="1" t="s">
        <v>361</v>
      </c>
      <c r="E5" s="1" t="s">
        <v>362</v>
      </c>
      <c r="F5" s="1" t="s">
        <v>363</v>
      </c>
    </row>
    <row r="6" customFormat="false" ht="22.35" hidden="false" customHeight="false" outlineLevel="0" collapsed="false">
      <c r="A6" s="10" t="s">
        <v>528</v>
      </c>
      <c r="B6" s="14" t="n">
        <v>60</v>
      </c>
      <c r="C6" s="15" t="n">
        <f aca="false">B6*4500</f>
        <v>270000</v>
      </c>
      <c r="D6" s="16" t="n">
        <v>0.2</v>
      </c>
      <c r="E6" s="10" t="s">
        <v>529</v>
      </c>
      <c r="F6" s="10" t="s">
        <v>530</v>
      </c>
    </row>
    <row r="7" customFormat="false" ht="22.35" hidden="false" customHeight="false" outlineLevel="0" collapsed="false">
      <c r="A7" s="10" t="s">
        <v>531</v>
      </c>
      <c r="B7" s="14" t="n">
        <v>45</v>
      </c>
      <c r="C7" s="15" t="n">
        <f aca="false">B7*4500</f>
        <v>202500</v>
      </c>
      <c r="D7" s="16" t="n">
        <v>0.15</v>
      </c>
      <c r="E7" s="10" t="s">
        <v>532</v>
      </c>
      <c r="F7" s="10" t="s">
        <v>533</v>
      </c>
    </row>
    <row r="8" customFormat="false" ht="22.35" hidden="false" customHeight="false" outlineLevel="0" collapsed="false">
      <c r="A8" s="10" t="s">
        <v>534</v>
      </c>
      <c r="B8" s="14" t="n">
        <v>32</v>
      </c>
      <c r="C8" s="15" t="n">
        <f aca="false">B8*4500</f>
        <v>144000</v>
      </c>
      <c r="D8" s="16" t="n">
        <v>0.15</v>
      </c>
      <c r="E8" s="10" t="s">
        <v>535</v>
      </c>
      <c r="F8" s="10" t="s">
        <v>536</v>
      </c>
    </row>
    <row r="9" customFormat="false" ht="22.35" hidden="false" customHeight="false" outlineLevel="0" collapsed="false">
      <c r="A9" s="10" t="s">
        <v>537</v>
      </c>
      <c r="B9" s="14" t="n">
        <v>52</v>
      </c>
      <c r="C9" s="15" t="n">
        <f aca="false">B9*4500</f>
        <v>234000</v>
      </c>
      <c r="D9" s="16" t="n">
        <v>0.15</v>
      </c>
      <c r="E9" s="10" t="s">
        <v>538</v>
      </c>
      <c r="F9" s="10" t="s">
        <v>539</v>
      </c>
    </row>
    <row r="10" customFormat="false" ht="22.35" hidden="false" customHeight="false" outlineLevel="0" collapsed="false">
      <c r="A10" s="10" t="s">
        <v>540</v>
      </c>
      <c r="B10" s="14" t="n">
        <v>80</v>
      </c>
      <c r="C10" s="15" t="n">
        <f aca="false">B10*4500</f>
        <v>360000</v>
      </c>
      <c r="D10" s="16" t="n">
        <v>0.2</v>
      </c>
      <c r="E10" s="10" t="s">
        <v>541</v>
      </c>
      <c r="F10" s="10" t="s">
        <v>542</v>
      </c>
    </row>
    <row r="11" customFormat="false" ht="22.35" hidden="false" customHeight="false" outlineLevel="0" collapsed="false">
      <c r="A11" s="10" t="s">
        <v>543</v>
      </c>
      <c r="B11" s="14" t="n">
        <v>75</v>
      </c>
      <c r="C11" s="15" t="n">
        <f aca="false">B11*4500</f>
        <v>337500</v>
      </c>
      <c r="D11" s="16" t="n">
        <v>0.15</v>
      </c>
      <c r="E11" s="10" t="s">
        <v>544</v>
      </c>
      <c r="F11" s="10" t="s">
        <v>545</v>
      </c>
    </row>
    <row r="12" customFormat="false" ht="22.35" hidden="false" customHeight="false" outlineLevel="0" collapsed="false">
      <c r="A12" s="10" t="s">
        <v>546</v>
      </c>
      <c r="B12" s="14" t="n">
        <v>25</v>
      </c>
      <c r="C12" s="15" t="n">
        <f aca="false">B12*4500</f>
        <v>112500</v>
      </c>
      <c r="D12" s="16" t="n">
        <v>0.15</v>
      </c>
      <c r="E12" s="10" t="s">
        <v>547</v>
      </c>
      <c r="F12" s="10" t="s">
        <v>548</v>
      </c>
    </row>
    <row r="13" customFormat="false" ht="22.35" hidden="false" customHeight="false" outlineLevel="0" collapsed="false">
      <c r="A13" s="10" t="s">
        <v>549</v>
      </c>
      <c r="B13" s="14" t="n">
        <v>35</v>
      </c>
      <c r="C13" s="15" t="n">
        <f aca="false">B13*4500</f>
        <v>157500</v>
      </c>
      <c r="D13" s="16" t="n">
        <v>0.1</v>
      </c>
      <c r="E13" s="10" t="s">
        <v>550</v>
      </c>
      <c r="F13" s="10" t="s">
        <v>551</v>
      </c>
    </row>
    <row r="14" customFormat="false" ht="22.35" hidden="false" customHeight="false" outlineLevel="0" collapsed="false">
      <c r="A14" s="10" t="s">
        <v>552</v>
      </c>
      <c r="B14" s="14" t="n">
        <v>40</v>
      </c>
      <c r="C14" s="15" t="n">
        <f aca="false">B14*4500</f>
        <v>180000</v>
      </c>
      <c r="D14" s="16" t="n">
        <v>0.15</v>
      </c>
      <c r="E14" s="10" t="s">
        <v>553</v>
      </c>
      <c r="F14" s="10" t="s">
        <v>554</v>
      </c>
    </row>
    <row r="15" customFormat="false" ht="32.8" hidden="false" customHeight="false" outlineLevel="0" collapsed="false">
      <c r="A15" s="10" t="s">
        <v>555</v>
      </c>
      <c r="B15" s="14" t="n">
        <v>50</v>
      </c>
      <c r="C15" s="15" t="n">
        <f aca="false">B15*4500</f>
        <v>225000</v>
      </c>
      <c r="D15" s="16" t="n">
        <v>0.15</v>
      </c>
      <c r="E15" s="10" t="s">
        <v>556</v>
      </c>
      <c r="F15" s="10" t="s">
        <v>557</v>
      </c>
    </row>
    <row r="16" customFormat="false" ht="22.35" hidden="false" customHeight="false" outlineLevel="0" collapsed="false">
      <c r="A16" s="10" t="s">
        <v>558</v>
      </c>
      <c r="B16" s="14" t="n">
        <v>45</v>
      </c>
      <c r="C16" s="15" t="n">
        <f aca="false">B16*4500</f>
        <v>202500</v>
      </c>
      <c r="D16" s="16" t="n">
        <v>0.15</v>
      </c>
      <c r="E16" s="10" t="s">
        <v>559</v>
      </c>
      <c r="F16" s="10" t="s">
        <v>560</v>
      </c>
    </row>
    <row r="17" customFormat="false" ht="22.35" hidden="false" customHeight="false" outlineLevel="0" collapsed="false">
      <c r="A17" s="10" t="s">
        <v>561</v>
      </c>
      <c r="B17" s="14" t="n">
        <v>224</v>
      </c>
      <c r="C17" s="15" t="n">
        <f aca="false">B17*4500</f>
        <v>1008000</v>
      </c>
      <c r="D17" s="16" t="n">
        <v>0.25</v>
      </c>
      <c r="E17" s="10" t="s">
        <v>562</v>
      </c>
      <c r="F17" s="10" t="s">
        <v>563</v>
      </c>
    </row>
    <row r="18" customFormat="false" ht="22.35" hidden="false" customHeight="false" outlineLevel="0" collapsed="false">
      <c r="A18" s="10" t="s">
        <v>564</v>
      </c>
      <c r="B18" s="14" t="n">
        <v>45</v>
      </c>
      <c r="C18" s="15" t="n">
        <f aca="false">B18*4500</f>
        <v>202500</v>
      </c>
      <c r="D18" s="16" t="n">
        <v>0.15</v>
      </c>
      <c r="E18" s="10" t="s">
        <v>565</v>
      </c>
      <c r="F18" s="10" t="s">
        <v>566</v>
      </c>
    </row>
    <row r="19" customFormat="false" ht="22.35" hidden="false" customHeight="false" outlineLevel="0" collapsed="false">
      <c r="A19" s="10" t="s">
        <v>567</v>
      </c>
      <c r="B19" s="14" t="n">
        <v>35</v>
      </c>
      <c r="C19" s="15" t="n">
        <f aca="false">B19*4500</f>
        <v>157500</v>
      </c>
      <c r="D19" s="16" t="n">
        <v>0.1</v>
      </c>
      <c r="E19" s="10" t="s">
        <v>568</v>
      </c>
      <c r="F19" s="10" t="s">
        <v>569</v>
      </c>
    </row>
    <row r="20" customFormat="false" ht="22.35" hidden="false" customHeight="false" outlineLevel="0" collapsed="false">
      <c r="A20" s="10" t="s">
        <v>570</v>
      </c>
      <c r="B20" s="14" t="n">
        <v>25</v>
      </c>
      <c r="C20" s="15" t="n">
        <f aca="false">B20*4500</f>
        <v>112500</v>
      </c>
      <c r="D20" s="16" t="n">
        <v>0.15</v>
      </c>
      <c r="E20" s="10" t="s">
        <v>571</v>
      </c>
      <c r="F20" s="10" t="s">
        <v>572</v>
      </c>
    </row>
    <row r="21" customFormat="false" ht="22.35" hidden="false" customHeight="false" outlineLevel="0" collapsed="false">
      <c r="A21" s="10" t="s">
        <v>573</v>
      </c>
      <c r="B21" s="14" t="n">
        <v>40</v>
      </c>
      <c r="C21" s="15" t="n">
        <f aca="false">B21*4500</f>
        <v>180000</v>
      </c>
      <c r="D21" s="16" t="n">
        <v>0.15</v>
      </c>
      <c r="E21" s="10" t="s">
        <v>574</v>
      </c>
      <c r="F21" s="10" t="s">
        <v>575</v>
      </c>
    </row>
    <row r="22" customFormat="false" ht="22.35" hidden="false" customHeight="false" outlineLevel="0" collapsed="false">
      <c r="A22" s="10" t="s">
        <v>576</v>
      </c>
      <c r="B22" s="14" t="n">
        <v>50</v>
      </c>
      <c r="C22" s="15" t="n">
        <f aca="false">B22*4500</f>
        <v>225000</v>
      </c>
      <c r="D22" s="16" t="n">
        <v>0.3</v>
      </c>
      <c r="E22" s="10" t="s">
        <v>577</v>
      </c>
      <c r="F22" s="10" t="s">
        <v>578</v>
      </c>
    </row>
    <row r="23" customFormat="false" ht="32.8" hidden="false" customHeight="false" outlineLevel="0" collapsed="false">
      <c r="A23" s="10" t="s">
        <v>579</v>
      </c>
      <c r="B23" s="14" t="n">
        <v>336</v>
      </c>
      <c r="C23" s="15" t="n">
        <f aca="false">B23*4500</f>
        <v>1512000</v>
      </c>
      <c r="D23" s="16" t="n">
        <v>0.25</v>
      </c>
      <c r="E23" s="10" t="s">
        <v>580</v>
      </c>
      <c r="F23" s="10" t="s">
        <v>581</v>
      </c>
    </row>
    <row r="24" customFormat="false" ht="22.35" hidden="false" customHeight="false" outlineLevel="0" collapsed="false">
      <c r="A24" s="10" t="s">
        <v>582</v>
      </c>
      <c r="B24" s="14" t="n">
        <v>60</v>
      </c>
      <c r="C24" s="15" t="n">
        <f aca="false">B24*4500</f>
        <v>270000</v>
      </c>
      <c r="D24" s="16" t="n">
        <v>0.2</v>
      </c>
      <c r="E24" s="10" t="s">
        <v>583</v>
      </c>
      <c r="F24" s="10" t="s">
        <v>584</v>
      </c>
    </row>
    <row r="25" customFormat="false" ht="22.35" hidden="false" customHeight="false" outlineLevel="0" collapsed="false">
      <c r="A25" s="10" t="s">
        <v>585</v>
      </c>
      <c r="B25" s="14" t="n">
        <v>28</v>
      </c>
      <c r="C25" s="15" t="n">
        <f aca="false">B25*4500</f>
        <v>126000</v>
      </c>
      <c r="D25" s="16" t="n">
        <v>0.15</v>
      </c>
      <c r="E25" s="10" t="s">
        <v>586</v>
      </c>
      <c r="F25" s="10" t="s">
        <v>587</v>
      </c>
    </row>
    <row r="26" customFormat="false" ht="22.35" hidden="false" customHeight="false" outlineLevel="0" collapsed="false">
      <c r="A26" s="10" t="s">
        <v>588</v>
      </c>
      <c r="B26" s="14" t="n">
        <v>35</v>
      </c>
      <c r="C26" s="15" t="n">
        <f aca="false">B26*4500</f>
        <v>157500</v>
      </c>
      <c r="D26" s="16" t="n">
        <v>0.15</v>
      </c>
      <c r="E26" s="10" t="s">
        <v>589</v>
      </c>
      <c r="F26" s="10" t="s">
        <v>590</v>
      </c>
    </row>
    <row r="27" customFormat="false" ht="32.8" hidden="false" customHeight="false" outlineLevel="0" collapsed="false">
      <c r="A27" s="10" t="s">
        <v>591</v>
      </c>
      <c r="B27" s="14" t="n">
        <v>140</v>
      </c>
      <c r="C27" s="15" t="n">
        <f aca="false">B27*4500</f>
        <v>630000</v>
      </c>
      <c r="D27" s="16" t="n">
        <v>0.35</v>
      </c>
      <c r="E27" s="10" t="s">
        <v>592</v>
      </c>
      <c r="F27" s="10" t="s">
        <v>593</v>
      </c>
    </row>
    <row r="28" customFormat="false" ht="22.35" hidden="false" customHeight="false" outlineLevel="0" collapsed="false">
      <c r="A28" s="10" t="s">
        <v>594</v>
      </c>
      <c r="B28" s="14" t="n">
        <v>28</v>
      </c>
      <c r="C28" s="15" t="n">
        <f aca="false">B28*4500</f>
        <v>126000</v>
      </c>
      <c r="D28" s="16" t="n">
        <v>0.15</v>
      </c>
      <c r="E28" s="10" t="s">
        <v>595</v>
      </c>
      <c r="F28" s="10" t="s">
        <v>596</v>
      </c>
    </row>
    <row r="29" customFormat="false" ht="22.35" hidden="false" customHeight="false" outlineLevel="0" collapsed="false">
      <c r="A29" s="10" t="s">
        <v>597</v>
      </c>
      <c r="B29" s="14" t="n">
        <v>32</v>
      </c>
      <c r="C29" s="15" t="n">
        <f aca="false">B29*4500</f>
        <v>144000</v>
      </c>
      <c r="D29" s="16" t="n">
        <v>0.1</v>
      </c>
      <c r="E29" s="10" t="s">
        <v>598</v>
      </c>
      <c r="F29" s="10" t="s">
        <v>599</v>
      </c>
    </row>
    <row r="30" customFormat="false" ht="22.35" hidden="false" customHeight="false" outlineLevel="0" collapsed="false">
      <c r="A30" s="10" t="s">
        <v>600</v>
      </c>
      <c r="B30" s="14" t="n">
        <v>45</v>
      </c>
      <c r="C30" s="15" t="n">
        <f aca="false">B30*4500</f>
        <v>202500</v>
      </c>
      <c r="D30" s="16" t="n">
        <v>0.1</v>
      </c>
      <c r="E30" s="10" t="s">
        <v>601</v>
      </c>
      <c r="F30" s="10" t="s">
        <v>602</v>
      </c>
    </row>
    <row r="31" customFormat="false" ht="22.35" hidden="false" customHeight="false" outlineLevel="0" collapsed="false">
      <c r="A31" s="10" t="s">
        <v>603</v>
      </c>
      <c r="B31" s="14" t="n">
        <v>50</v>
      </c>
      <c r="C31" s="15" t="n">
        <f aca="false">B31*4500</f>
        <v>225000</v>
      </c>
      <c r="D31" s="16" t="n">
        <v>0.25</v>
      </c>
      <c r="E31" s="10" t="s">
        <v>604</v>
      </c>
      <c r="F31" s="10" t="s">
        <v>605</v>
      </c>
    </row>
    <row r="32" customFormat="false" ht="22.35" hidden="false" customHeight="false" outlineLevel="0" collapsed="false">
      <c r="A32" s="10" t="s">
        <v>606</v>
      </c>
      <c r="B32" s="14" t="n">
        <v>35</v>
      </c>
      <c r="C32" s="15" t="n">
        <f aca="false">B32*4500</f>
        <v>157500</v>
      </c>
      <c r="D32" s="16" t="n">
        <v>0.2</v>
      </c>
      <c r="E32" s="10" t="s">
        <v>607</v>
      </c>
      <c r="F32" s="10" t="s">
        <v>608</v>
      </c>
    </row>
    <row r="33" customFormat="false" ht="22.35" hidden="false" customHeight="false" outlineLevel="0" collapsed="false">
      <c r="A33" s="10" t="s">
        <v>609</v>
      </c>
      <c r="B33" s="14" t="n">
        <v>70</v>
      </c>
      <c r="C33" s="15" t="n">
        <f aca="false">B33*4500</f>
        <v>315000</v>
      </c>
      <c r="D33" s="16" t="n">
        <v>0.1</v>
      </c>
      <c r="E33" s="10" t="s">
        <v>610</v>
      </c>
      <c r="F33" s="10" t="s">
        <v>414</v>
      </c>
    </row>
    <row r="34" customFormat="false" ht="22.35" hidden="false" customHeight="false" outlineLevel="0" collapsed="false">
      <c r="A34" s="10" t="s">
        <v>611</v>
      </c>
      <c r="B34" s="14" t="n">
        <v>95</v>
      </c>
      <c r="C34" s="15" t="n">
        <f aca="false">B34*4500</f>
        <v>427500</v>
      </c>
      <c r="D34" s="16" t="n">
        <v>0.15</v>
      </c>
      <c r="E34" s="10" t="s">
        <v>612</v>
      </c>
      <c r="F34" s="10" t="s">
        <v>613</v>
      </c>
    </row>
    <row r="35" customFormat="false" ht="22.35" hidden="false" customHeight="false" outlineLevel="0" collapsed="false">
      <c r="A35" s="10" t="s">
        <v>614</v>
      </c>
      <c r="B35" s="14" t="n">
        <v>50</v>
      </c>
      <c r="C35" s="15" t="n">
        <f aca="false">B35*4500</f>
        <v>225000</v>
      </c>
      <c r="D35" s="16" t="n">
        <v>0.15</v>
      </c>
      <c r="E35" s="10" t="s">
        <v>615</v>
      </c>
      <c r="F35" s="10" t="s">
        <v>616</v>
      </c>
    </row>
    <row r="36" customFormat="false" ht="15" hidden="false" customHeight="false" outlineLevel="0" collapsed="false">
      <c r="A36" s="10" t="s">
        <v>617</v>
      </c>
      <c r="B36" s="14" t="n">
        <v>22</v>
      </c>
      <c r="C36" s="15" t="n">
        <f aca="false">B36*4500</f>
        <v>99000</v>
      </c>
      <c r="D36" s="16" t="n">
        <v>0.15</v>
      </c>
      <c r="E36" s="10" t="s">
        <v>618</v>
      </c>
      <c r="F36" s="10" t="s">
        <v>619</v>
      </c>
    </row>
    <row r="37" customFormat="false" ht="22.35" hidden="false" customHeight="false" outlineLevel="0" collapsed="false">
      <c r="A37" s="10" t="s">
        <v>620</v>
      </c>
      <c r="B37" s="14" t="n">
        <v>25</v>
      </c>
      <c r="C37" s="15" t="n">
        <f aca="false">B37*4500</f>
        <v>112500</v>
      </c>
      <c r="D37" s="16" t="n">
        <v>0.1</v>
      </c>
      <c r="E37" s="10" t="s">
        <v>621</v>
      </c>
      <c r="F37" s="10" t="s">
        <v>622</v>
      </c>
    </row>
    <row r="38" customFormat="false" ht="22.35" hidden="false" customHeight="false" outlineLevel="0" collapsed="false">
      <c r="A38" s="10" t="s">
        <v>623</v>
      </c>
      <c r="B38" s="14" t="n">
        <v>38</v>
      </c>
      <c r="C38" s="15" t="n">
        <f aca="false">B38*4500</f>
        <v>171000</v>
      </c>
      <c r="D38" s="16" t="n">
        <v>0.05</v>
      </c>
      <c r="E38" s="10" t="s">
        <v>624</v>
      </c>
      <c r="F38" s="10" t="s">
        <v>625</v>
      </c>
    </row>
    <row r="39" customFormat="false" ht="22.35" hidden="false" customHeight="false" outlineLevel="0" collapsed="false">
      <c r="A39" s="10" t="s">
        <v>626</v>
      </c>
      <c r="B39" s="14" t="n">
        <v>35</v>
      </c>
      <c r="C39" s="15" t="n">
        <f aca="false">B39*4500</f>
        <v>157500</v>
      </c>
      <c r="D39" s="16" t="n">
        <v>0.05</v>
      </c>
      <c r="E39" s="10" t="s">
        <v>627</v>
      </c>
      <c r="F39" s="10" t="s">
        <v>628</v>
      </c>
    </row>
    <row r="40" customFormat="false" ht="22.35" hidden="false" customHeight="false" outlineLevel="0" collapsed="false">
      <c r="A40" s="10" t="s">
        <v>629</v>
      </c>
      <c r="B40" s="14" t="n">
        <v>70</v>
      </c>
      <c r="C40" s="15" t="n">
        <f aca="false">B40*4500</f>
        <v>315000</v>
      </c>
      <c r="D40" s="16" t="n">
        <v>0.2</v>
      </c>
      <c r="E40" s="10" t="s">
        <v>630</v>
      </c>
      <c r="F40" s="10" t="s">
        <v>631</v>
      </c>
    </row>
    <row r="41" customFormat="false" ht="22.35" hidden="false" customHeight="false" outlineLevel="0" collapsed="false">
      <c r="A41" s="10" t="s">
        <v>632</v>
      </c>
      <c r="B41" s="14" t="n">
        <v>28</v>
      </c>
      <c r="C41" s="15" t="n">
        <f aca="false">B41*4500</f>
        <v>126000</v>
      </c>
      <c r="D41" s="16" t="n">
        <v>0.3</v>
      </c>
      <c r="E41" s="10" t="s">
        <v>633</v>
      </c>
      <c r="F41" s="10" t="s">
        <v>634</v>
      </c>
    </row>
    <row r="42" customFormat="false" ht="22.35" hidden="false" customHeight="false" outlineLevel="0" collapsed="false">
      <c r="A42" s="10" t="s">
        <v>635</v>
      </c>
      <c r="B42" s="14" t="n">
        <v>45</v>
      </c>
      <c r="C42" s="15" t="n">
        <f aca="false">B42*4500</f>
        <v>202500</v>
      </c>
      <c r="D42" s="16" t="n">
        <v>0.15</v>
      </c>
      <c r="E42" s="10" t="s">
        <v>636</v>
      </c>
      <c r="F42" s="10" t="s">
        <v>637</v>
      </c>
    </row>
    <row r="43" customFormat="false" ht="22.35" hidden="false" customHeight="false" outlineLevel="0" collapsed="false">
      <c r="A43" s="10" t="s">
        <v>638</v>
      </c>
      <c r="B43" s="14" t="n">
        <v>25</v>
      </c>
      <c r="C43" s="15" t="n">
        <f aca="false">B43*4500</f>
        <v>112500</v>
      </c>
      <c r="D43" s="16" t="n">
        <v>0.1</v>
      </c>
      <c r="E43" s="10" t="s">
        <v>639</v>
      </c>
      <c r="F43" s="10" t="s">
        <v>640</v>
      </c>
    </row>
    <row r="44" customFormat="false" ht="32.8" hidden="false" customHeight="false" outlineLevel="0" collapsed="false">
      <c r="A44" s="10" t="s">
        <v>641</v>
      </c>
      <c r="B44" s="14" t="n">
        <v>380</v>
      </c>
      <c r="C44" s="15" t="n">
        <f aca="false">B44*4500</f>
        <v>1710000</v>
      </c>
      <c r="D44" s="16" t="n">
        <v>0.25</v>
      </c>
      <c r="E44" s="10" t="s">
        <v>642</v>
      </c>
      <c r="F44" s="10" t="s">
        <v>643</v>
      </c>
    </row>
    <row r="45" customFormat="false" ht="15" hidden="false" customHeight="false" outlineLevel="0" collapsed="false">
      <c r="A45" s="17" t="s">
        <v>442</v>
      </c>
      <c r="B45" s="18" t="n">
        <f aca="false">SUM(B6:B43)</f>
        <v>2250</v>
      </c>
      <c r="C45" s="19" t="n">
        <f aca="false">SUM(C6:C43)</f>
        <v>10125000</v>
      </c>
      <c r="D45" s="20" t="n">
        <f aca="false">SUMPRODUCT(B6:B43,D6:D43)/SUM(B6:B43)</f>
        <v>0.192355555555556</v>
      </c>
      <c r="E45" s="17" t="s">
        <v>443</v>
      </c>
      <c r="F45" s="17" t="s">
        <v>444</v>
      </c>
    </row>
    <row r="46" customFormat="false" ht="15" hidden="false" customHeight="false" outlineLevel="0" collapsed="false">
      <c r="A46" s="21" t="s">
        <v>445</v>
      </c>
      <c r="B46" s="22" t="n">
        <f aca="false">ROUND(B45*0.2,0)</f>
        <v>450</v>
      </c>
      <c r="C46" s="23" t="n">
        <f aca="false">B46*4500</f>
        <v>2025000</v>
      </c>
      <c r="D46" s="21"/>
      <c r="E46" s="21" t="s">
        <v>446</v>
      </c>
      <c r="F46" s="21"/>
    </row>
    <row r="47" customFormat="false" ht="15" hidden="false" customHeight="false" outlineLevel="0" collapsed="false">
      <c r="A47" s="24" t="s">
        <v>447</v>
      </c>
      <c r="B47" s="24" t="n">
        <f aca="false">B45+B46</f>
        <v>2700</v>
      </c>
      <c r="C47" s="25" t="n">
        <f aca="false">C45+C46</f>
        <v>12150000</v>
      </c>
      <c r="D47" s="24"/>
      <c r="E47" s="24"/>
      <c r="F47" s="24"/>
    </row>
    <row r="48" customFormat="false" ht="15" hidden="false" customHeight="false" outlineLevel="0" collapsed="false">
      <c r="A48" s="26" t="s">
        <v>644</v>
      </c>
      <c r="B48" s="26"/>
      <c r="C48" s="26" t="str">
        <f aca="false">IF(C47&lt;7621696.048, "SUB buget min (7,621,696) - revizuim crescator", IF(C47&gt;13337968.084, "PESTE buget max (13,337,968) - revizuim descrescator", "IN BUGET"))</f>
        <v>IN BUGET</v>
      </c>
      <c r="D48" s="26"/>
      <c r="E48" s="26"/>
      <c r="F48" s="26"/>
    </row>
  </sheetData>
  <mergeCells count="3">
    <mergeCell ref="A1:F1"/>
    <mergeCell ref="A2:F2"/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2026-05-13T21:34:02Z</dcterms:created>
  <dc:creator>openpyxl</dc:creator>
  <dc:description/>
  <dc:language>en-US</dc:language>
  <cp:lastModifiedBy/>
  <dcterms:modified xsi:type="dcterms:W3CDTF">2026-05-13T21:34:02Z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