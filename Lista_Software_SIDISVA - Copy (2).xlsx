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za" sheetId="1" state="visible" r:id="rId1"/>
    <sheet xmlns:r="http://schemas.openxmlformats.org/officeDocument/2006/relationships" name="Cantitati explicite CdS" sheetId="2" state="visible" r:id="rId2"/>
    <sheet xmlns:r="http://schemas.openxmlformats.org/officeDocument/2006/relationships" name="AppMobilaCetateni" sheetId="3" state="visible" r:id="rId3"/>
    <sheet xmlns:r="http://schemas.openxmlformats.org/officeDocument/2006/relationships" name="HL7" sheetId="4" state="visible" r:id="rId4"/>
    <sheet xmlns:r="http://schemas.openxmlformats.org/officeDocument/2006/relationships" name="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8"/>
      <sz val="12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9" fontId="2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3" customWidth="1" min="4" max="4"/>
    <col width="48" customWidth="1" min="5" max="5"/>
    <col width="30" customWidth="1" min="6" max="6"/>
    <col width="36" customWidth="1" min="7" max="7"/>
    <col width="24" customWidth="1" min="8" max="8"/>
    <col width="22" customWidth="1" min="9" max="9"/>
    <col width="22" customWidth="1" min="10" max="10"/>
    <col width="18" customWidth="1" min="11" max="11"/>
    <col width="40" customWidth="1" min="12" max="12"/>
  </cols>
  <sheetData>
    <row r="1" ht="38" customHeight="1">
      <c r="A1" s="1" t="inlineStr">
        <is>
          <t>#</t>
        </is>
      </c>
      <c r="B1" s="1" t="inlineStr">
        <is>
          <t>Categorie</t>
        </is>
      </c>
      <c r="C1" s="1" t="inlineStr">
        <is>
          <t>Componenta software</t>
        </is>
      </c>
      <c r="D1" s="1" t="inlineStr">
        <is>
          <t>PagCS</t>
        </is>
      </c>
      <c r="E1" s="1" t="inlineStr">
        <is>
          <t>Cerinta CdS (rezumat)</t>
        </is>
      </c>
      <c r="F1" s="1" t="inlineStr">
        <is>
          <t>Produs recomandat (oferta)</t>
        </is>
      </c>
      <c r="G1" s="1" t="inlineStr">
        <is>
          <t>Alternativa</t>
        </is>
      </c>
      <c r="H1" s="1" t="inlineStr">
        <is>
          <t>Cantitate / Sizing</t>
        </is>
      </c>
      <c r="I1" s="1" t="inlineStr">
        <is>
          <t>Unitate licentiere</t>
        </is>
      </c>
      <c r="J1" s="1" t="inlineStr">
        <is>
          <t>Locatie implementare</t>
        </is>
      </c>
      <c r="K1" s="1" t="inlineStr">
        <is>
          <t>Sursa CdS (sectiune)</t>
        </is>
      </c>
      <c r="L1" s="1" t="inlineStr">
        <is>
          <t>Intrebari / Observatii</t>
        </is>
      </c>
    </row>
    <row r="2">
      <c r="A2" s="2" t="n">
        <v>1</v>
      </c>
      <c r="B2" s="2" t="inlineStr">
        <is>
          <t>A. Infrastructura SW</t>
        </is>
      </c>
      <c r="C2" s="2" t="inlineStr">
        <is>
          <t>Sistem de operare server (Linux)</t>
        </is>
      </c>
      <c r="D2" s="3" t="inlineStr">
        <is>
          <t>pg.52-53</t>
        </is>
      </c>
      <c r="E2" s="2" t="inlineStr">
        <is>
          <t>OS 64-bit, IPv6, cluster, COTS, suport pe Linux Enterprise; servicii neutilizate dezactivate.</t>
        </is>
      </c>
      <c r="F2" s="2" t="inlineStr">
        <is>
          <t>Red Hat Enterprise Linux 9 sau Oracle Linux 9</t>
        </is>
      </c>
      <c r="G2" s="2" t="inlineStr">
        <is>
          <t>Ubuntu Server LTS / SUSE Linux Enterprise Server</t>
        </is>
      </c>
      <c r="H2" s="2" t="inlineStr">
        <is>
          <t>20-30 VM-uri</t>
        </is>
      </c>
      <c r="I2" s="2" t="inlineStr">
        <is>
          <t>Per socket / per VM</t>
        </is>
      </c>
      <c r="J2" s="2" t="inlineStr">
        <is>
          <t>Cloud guvernamental (BYOL Azure Stack)</t>
        </is>
      </c>
      <c r="K2" s="2" t="inlineStr">
        <is>
          <t>3.4.3.2.3</t>
        </is>
      </c>
      <c r="L2" s="2" t="inlineStr">
        <is>
          <t>Matricea aplicatii-&gt;OS nu e specificata; dimensionam pe baza modulelor</t>
        </is>
      </c>
    </row>
    <row r="3">
      <c r="A3" s="2" t="n">
        <v>2</v>
      </c>
      <c r="B3" s="2" t="inlineStr">
        <is>
          <t>A. Infrastructura SW</t>
        </is>
      </c>
      <c r="C3" s="2" t="inlineStr">
        <is>
          <t>Sistem de operare server (Windows)</t>
        </is>
      </c>
      <c r="D3" s="3" t="inlineStr">
        <is>
          <t>pg.52-53; pg.101-105</t>
        </is>
      </c>
      <c r="E3" s="2" t="inlineStr">
        <is>
          <t>OS 64-bit, IPv6; necesar 4 instante honeypot + componente compatibile MS.</t>
        </is>
      </c>
      <c r="F3" s="2" t="inlineStr">
        <is>
          <t>Microsoft Windows Server 2022 Datacenter</t>
        </is>
      </c>
      <c r="G3" s="2" t="inlineStr">
        <is>
          <t>Windows Server 2022 Standard</t>
        </is>
      </c>
      <c r="H3" s="2" t="inlineStr">
        <is>
          <t>Min. 4 (honeypot) + ~6-10 VM-uri</t>
        </is>
      </c>
      <c r="I3" s="2" t="inlineStr">
        <is>
          <t>Per core (16-core pack) + CAL</t>
        </is>
      </c>
      <c r="J3" s="2" t="inlineStr">
        <is>
          <t>Cloud guvernamental + Centrul de date</t>
        </is>
      </c>
      <c r="K3" s="2" t="inlineStr">
        <is>
          <t>3.4.3.2.3; 3.4.3.4.1.2</t>
        </is>
      </c>
      <c r="L3" s="2" t="inlineStr">
        <is>
          <t>Total licente Windows Server? Propunem majoritate Linux pt. reducere cost</t>
        </is>
      </c>
    </row>
    <row r="4">
      <c r="A4" s="2" t="n">
        <v>3</v>
      </c>
      <c r="B4" s="2" t="inlineStr">
        <is>
          <t>A. Infrastructura SW</t>
        </is>
      </c>
      <c r="C4" s="2" t="inlineStr">
        <is>
          <t>Platforma web server / reverse proxy</t>
        </is>
      </c>
      <c r="D4" s="3" t="inlineStr">
        <is>
          <t>pg.51-52</t>
        </is>
      </c>
      <c r="E4" s="2" t="inlineStr">
        <is>
          <t>Cluster activ-activ, min. 16 nuclee per nod.</t>
        </is>
      </c>
      <c r="F4" s="2" t="inlineStr">
        <is>
          <t>NGINX Plus</t>
        </is>
      </c>
      <c r="G4" s="2" t="inlineStr">
        <is>
          <t>Apache HTTP Server / Microsoft IIS</t>
        </is>
      </c>
      <c r="H4" s="2" t="inlineStr">
        <is>
          <t>2 noduri × 16 cores</t>
        </is>
      </c>
      <c r="I4" s="2" t="inlineStr">
        <is>
          <t>Per instanta / per core</t>
        </is>
      </c>
      <c r="J4" s="2" t="inlineStr">
        <is>
          <t>Cloud guvernamental</t>
        </is>
      </c>
      <c r="K4" s="2" t="inlineStr">
        <is>
          <t>3.4.3.2.1</t>
        </is>
      </c>
      <c r="L4" s="2" t="inlineStr">
        <is>
          <t>Cluster min. 2 noduri sau 3 pt. quorum?</t>
        </is>
      </c>
    </row>
    <row r="5">
      <c r="A5" s="2" t="n">
        <v>4</v>
      </c>
      <c r="B5" s="2" t="inlineStr">
        <is>
          <t>A. Infrastructura SW</t>
        </is>
      </c>
      <c r="C5" s="2" t="inlineStr">
        <is>
          <t>Server de aplicatie (Java EE)</t>
        </is>
      </c>
      <c r="D5" s="3" t="inlineStr">
        <is>
          <t>pg.52</t>
        </is>
      </c>
      <c r="E5" s="2" t="inlineStr">
        <is>
          <t>Cluster activ-activ, min. 16 nuclee per nod.</t>
        </is>
      </c>
      <c r="F5" s="2" t="inlineStr">
        <is>
          <t>Oracle WebLogic Server EE</t>
        </is>
      </c>
      <c r="G5" s="2" t="inlineStr">
        <is>
          <t>JBoss EAP / WebSphere ND / Tomcat Enterprise</t>
        </is>
      </c>
      <c r="H5" s="2" t="inlineStr">
        <is>
          <t>2 noduri × 16 cores</t>
        </is>
      </c>
      <c r="I5" s="2" t="inlineStr">
        <is>
          <t>Per processor</t>
        </is>
      </c>
      <c r="J5" s="2" t="inlineStr">
        <is>
          <t>Cloud guvernamental</t>
        </is>
      </c>
      <c r="K5" s="2" t="inlineStr">
        <is>
          <t>3.4.3.2.2</t>
        </is>
      </c>
      <c r="L5" s="2" t="inlineStr">
        <is>
          <t>WebLogic vs JBoss EAP? Verificat compatibilitate VOGO</t>
        </is>
      </c>
    </row>
    <row r="6">
      <c r="A6" s="2" t="n">
        <v>5</v>
      </c>
      <c r="B6" s="2" t="inlineStr">
        <is>
          <t>A. Infrastructura SW</t>
        </is>
      </c>
      <c r="C6" s="2" t="inlineStr">
        <is>
          <t>SGBD principal (RDBMS)</t>
        </is>
      </c>
      <c r="D6" s="3" t="inlineStr">
        <is>
          <t>pg.53-55</t>
        </is>
      </c>
      <c r="E6" s="2" t="inlineStr">
        <is>
          <t>COTS, Gartner Leaders, cluster activ-activ ≥2×8 cores, cache fusion, flashback, TDE, masking, ML.</t>
        </is>
      </c>
      <c r="F6" s="2" t="inlineStr">
        <is>
          <t>Oracle DB EE + RAC + Advanced Security + Data Masking Pack</t>
        </is>
      </c>
      <c r="G6" s="2" t="inlineStr">
        <is>
          <t>MSSQL EE + Always On (risc neconformitate)</t>
        </is>
      </c>
      <c r="H6" s="2" t="inlineStr">
        <is>
          <t>2 × 8 cores minim, recomandam 2×16</t>
        </is>
      </c>
      <c r="I6" s="2" t="inlineStr">
        <is>
          <t>Per processor (Oracle Core Factor)</t>
        </is>
      </c>
      <c r="J6" s="2" t="inlineStr">
        <is>
          <t>Cloud guvernamental</t>
        </is>
      </c>
      <c r="K6" s="2" t="inlineStr">
        <is>
          <t>3.4.3.2.4</t>
        </is>
      </c>
      <c r="L6" s="2" t="inlineStr">
        <is>
          <t>Cache fusion = Oracle RAC. Cerem clarificare 'echivalent functional'?</t>
        </is>
      </c>
    </row>
    <row r="7">
      <c r="A7" s="2" t="n">
        <v>6</v>
      </c>
      <c r="B7" s="2" t="inlineStr">
        <is>
          <t>A. Infrastructura SW</t>
        </is>
      </c>
      <c r="C7" s="2" t="inlineStr">
        <is>
          <t>SGBD NoSQL (loguri)</t>
        </is>
      </c>
      <c r="D7" s="3" t="inlineStr">
        <is>
          <t>pg.110</t>
        </is>
      </c>
      <c r="E7" s="2" t="inlineStr">
        <is>
          <t>Stocarea log-urilor/evenimentelor NoSQL.</t>
        </is>
      </c>
      <c r="F7" s="2" t="inlineStr">
        <is>
          <t>Elasticsearch (Elastic Stack Enterprise)</t>
        </is>
      </c>
      <c r="G7" s="2" t="inlineStr">
        <is>
          <t>MongoDB Enterprise Advanced / OpenSearch</t>
        </is>
      </c>
      <c r="H7" s="2" t="inlineStr">
        <is>
          <t>Cluster 3 noduri</t>
        </is>
      </c>
      <c r="I7" s="2" t="inlineStr">
        <is>
          <t>Per nod / per GB</t>
        </is>
      </c>
      <c r="J7" s="2" t="inlineStr">
        <is>
          <t>Cloud guvernamental</t>
        </is>
      </c>
      <c r="K7" s="2" t="inlineStr">
        <is>
          <t>3.4.3.4.1.4</t>
        </is>
      </c>
      <c r="L7" s="2" t="inlineStr">
        <is>
          <t>Volum loguri/zi estimat?</t>
        </is>
      </c>
    </row>
    <row r="8">
      <c r="A8" s="2" t="n">
        <v>7</v>
      </c>
      <c r="B8" s="2" t="inlineStr">
        <is>
          <t>A. Infrastructura SW</t>
        </is>
      </c>
      <c r="C8" s="2" t="inlineStr">
        <is>
          <t>Componenta ETL</t>
        </is>
      </c>
      <c r="D8" s="3" t="inlineStr">
        <is>
          <t>pg.55-57</t>
        </is>
      </c>
      <c r="E8" s="2" t="inlineStr">
        <is>
          <t>Min. 16 cores; acces la MSSQL, MySQL, Oracle, DB2, PostgreSQL.</t>
        </is>
      </c>
      <c r="F8" s="2" t="inlineStr">
        <is>
          <t>Oracle Data Integrator</t>
        </is>
      </c>
      <c r="G8" s="2" t="inlineStr">
        <is>
          <t>Informatica / Talend / SSIS</t>
        </is>
      </c>
      <c r="H8" s="2" t="inlineStr">
        <is>
          <t>16 cores</t>
        </is>
      </c>
      <c r="I8" s="2" t="inlineStr">
        <is>
          <t>Per processor</t>
        </is>
      </c>
      <c r="J8" s="2" t="inlineStr">
        <is>
          <t>Cloud guvernamental</t>
        </is>
      </c>
      <c r="K8" s="2" t="inlineStr">
        <is>
          <t>3.4.3.2.5</t>
        </is>
      </c>
      <c r="L8" s="2" t="inlineStr">
        <is>
          <t>Cuplat cu decizia SGBD</t>
        </is>
      </c>
    </row>
    <row r="9">
      <c r="A9" s="2" t="n">
        <v>8</v>
      </c>
      <c r="B9" s="2" t="inlineStr">
        <is>
          <t>A. Infrastructura SW</t>
        </is>
      </c>
      <c r="C9" s="2" t="inlineStr">
        <is>
          <t>Componenta BI</t>
        </is>
      </c>
      <c r="D9" s="3" t="inlineStr">
        <is>
          <t>pg.57-59</t>
        </is>
      </c>
      <c r="E9" s="2" t="inlineStr">
        <is>
          <t>Acces relational + multidim + Big Data; dashboards; 50 utilizatori.</t>
        </is>
      </c>
      <c r="F9" s="2" t="inlineStr">
        <is>
          <t>Oracle Analytics Server</t>
        </is>
      </c>
      <c r="G9" s="2" t="inlineStr">
        <is>
          <t>Power BI Premium / Tableau / Qlik Sense</t>
        </is>
      </c>
      <c r="H9" s="2" t="inlineStr">
        <is>
          <t>50 utilizatori</t>
        </is>
      </c>
      <c r="I9" s="2" t="inlineStr">
        <is>
          <t>Per named user</t>
        </is>
      </c>
      <c r="J9" s="2" t="inlineStr">
        <is>
          <t>Cloud guvernamental</t>
        </is>
      </c>
      <c r="K9" s="2" t="inlineStr">
        <is>
          <t>3.4.3.2.6</t>
        </is>
      </c>
      <c r="L9" s="2" t="inlineStr">
        <is>
          <t>Named vs concurrent? Interpretam named</t>
        </is>
      </c>
    </row>
    <row r="10">
      <c r="A10" s="2" t="n">
        <v>9</v>
      </c>
      <c r="B10" s="2" t="inlineStr">
        <is>
          <t>A. Infrastructura SW</t>
        </is>
      </c>
      <c r="C10" s="2" t="inlineStr">
        <is>
          <t>IAM (Identity Management)</t>
        </is>
      </c>
      <c r="D10" s="3" t="inlineStr">
        <is>
          <t>pg.59-60</t>
        </is>
      </c>
      <c r="E10" s="2" t="inlineStr">
        <is>
          <t>LDAP, OpenID, OAuth2, SAML; sincronizare timp real.</t>
        </is>
      </c>
      <c r="F10" s="2" t="inlineStr">
        <is>
          <t>Keycloak Enterprise</t>
        </is>
      </c>
      <c r="G10" s="2" t="inlineStr">
        <is>
          <t>Entra ID / Oracle IAM / ForgeRock</t>
        </is>
      </c>
      <c r="H10" s="2" t="inlineStr">
        <is>
          <t>~150 interni + 185k externi</t>
        </is>
      </c>
      <c r="I10" s="2" t="inlineStr">
        <is>
          <t>Per user / unlimited</t>
        </is>
      </c>
      <c r="J10" s="2" t="inlineStr">
        <is>
          <t>Cloud guvernamental</t>
        </is>
      </c>
      <c r="K10" s="2" t="inlineStr">
        <is>
          <t>3.4.3.2.7</t>
        </is>
      </c>
      <c r="L10" s="2" t="inlineStr">
        <is>
          <t>185k cetateni se licentiaza separat?</t>
        </is>
      </c>
    </row>
    <row r="11">
      <c r="A11" s="2" t="n">
        <v>10</v>
      </c>
      <c r="B11" s="2" t="inlineStr">
        <is>
          <t>A. Infrastructura SW</t>
        </is>
      </c>
      <c r="C11" s="2" t="inlineStr">
        <is>
          <t>Sistem GIS</t>
        </is>
      </c>
      <c r="D11" s="3" t="inlineStr">
        <is>
          <t>pg.60-62</t>
        </is>
      </c>
      <c r="E11" s="2" t="inlineStr">
        <is>
          <t>Cartografiere exploatatii, locatii, animale; layere, geo-fencing.</t>
        </is>
      </c>
      <c r="F11" s="2" t="inlineStr">
        <is>
          <t>ESRI ArcGIS Enterprise</t>
        </is>
      </c>
      <c r="G11" s="2" t="inlineStr">
        <is>
          <t>GeoServer + PostGIS / Hexagon</t>
        </is>
      </c>
      <c r="H11" s="2" t="inlineStr">
        <is>
          <t>1 server + ~50 editori</t>
        </is>
      </c>
      <c r="I11" s="2" t="inlineStr">
        <is>
          <t>Per server + per named user</t>
        </is>
      </c>
      <c r="J11" s="2" t="inlineStr">
        <is>
          <t>Cloud guvernamental</t>
        </is>
      </c>
      <c r="K11" s="2" t="inlineStr">
        <is>
          <t>3.4.3.2.8</t>
        </is>
      </c>
      <c r="L11" s="2" t="inlineStr">
        <is>
          <t>Cati editori GIS estimam?</t>
        </is>
      </c>
    </row>
    <row r="12">
      <c r="A12" s="2" t="n">
        <v>11</v>
      </c>
      <c r="B12" s="2" t="inlineStr">
        <is>
          <t>A. Infrastructura SW</t>
        </is>
      </c>
      <c r="C12" s="2" t="inlineStr">
        <is>
          <t>ESB / Interoperabilitate</t>
        </is>
      </c>
      <c r="D12" s="3" t="inlineStr">
        <is>
          <t>pg.62-65</t>
        </is>
      </c>
      <c r="E12" s="2" t="inlineStr">
        <is>
          <t>Cluster activ-pasiv, min. 16 cores; cozi, FTP, JMS, MQ.</t>
        </is>
      </c>
      <c r="F12" s="2" t="inlineStr">
        <is>
          <t>Oracle Service Bus + SOA Suite</t>
        </is>
      </c>
      <c r="G12" s="2" t="inlineStr">
        <is>
          <t>MuleSoft / WSO2 / Camel+Kong</t>
        </is>
      </c>
      <c r="H12" s="2" t="inlineStr">
        <is>
          <t>2 noduri × 16 cores</t>
        </is>
      </c>
      <c r="I12" s="2" t="inlineStr">
        <is>
          <t>Per processor</t>
        </is>
      </c>
      <c r="J12" s="2" t="inlineStr">
        <is>
          <t>Cloud guvernamental</t>
        </is>
      </c>
      <c r="K12" s="2" t="inlineStr">
        <is>
          <t>3.4.3.2.9</t>
        </is>
      </c>
      <c r="L12" s="2" t="inlineStr">
        <is>
          <t>Activ-pasiv vs activ-activ?</t>
        </is>
      </c>
    </row>
    <row r="13">
      <c r="A13" s="4" t="n">
        <v>12</v>
      </c>
      <c r="B13" s="4" t="inlineStr">
        <is>
          <t>B. Software aplicativ</t>
        </is>
      </c>
      <c r="C13" s="4" t="inlineStr">
        <is>
          <t>Solutie management documente (DMS)</t>
        </is>
      </c>
      <c r="D13" s="5" t="inlineStr">
        <is>
          <t>pg.65-83</t>
        </is>
      </c>
      <c r="E13" s="4" t="inlineStr">
        <is>
          <t>7 module; persistenta Oracle/MSSQL/PostgreSQL/MySQL/MariaDB; web + PWA.</t>
        </is>
      </c>
      <c r="F13" s="4" t="inlineStr">
        <is>
          <t>VOGO ENTERPRISE BUSINESS SUITE</t>
        </is>
      </c>
      <c r="G13" s="4" t="inlineStr">
        <is>
          <t>(N/A - produs propriu)</t>
        </is>
      </c>
      <c r="H13" s="4" t="inlineStr">
        <is>
          <t>Nelimitata utilizatori (perpetuu) + cod sursa</t>
        </is>
      </c>
      <c r="I13" s="4" t="inlineStr">
        <is>
          <t>Perpetuu, fara limita</t>
        </is>
      </c>
      <c r="J13" s="4" t="inlineStr">
        <is>
          <t>Cloud guvernamental + Centrul de date</t>
        </is>
      </c>
      <c r="K13" s="4" t="inlineStr">
        <is>
          <t>3.4.3.3.1; 3.4.3.3.4</t>
        </is>
      </c>
      <c r="L13" s="4" t="inlineStr">
        <is>
          <t>VOGO indeplineste cerinta</t>
        </is>
      </c>
    </row>
    <row r="14">
      <c r="A14" s="4" t="n">
        <v>13</v>
      </c>
      <c r="B14" s="4" t="inlineStr">
        <is>
          <t>B. Software aplicativ</t>
        </is>
      </c>
      <c r="C14" s="4" t="inlineStr">
        <is>
          <t>Portal Servicii Publice (web)</t>
        </is>
      </c>
      <c r="D14" s="5" t="inlineStr">
        <is>
          <t>pg.83-86</t>
        </is>
      </c>
      <c r="E14" s="4" t="inlineStr">
        <is>
          <t>Portal cetateni/firme/medici vet; SSO; multi-lang; ROeID.</t>
        </is>
      </c>
      <c r="F14" s="4" t="inlineStr">
        <is>
          <t>Modul VOGO Portal (custom pe VOGO EBS)</t>
        </is>
      </c>
      <c r="G14" s="4" t="inlineStr">
        <is>
          <t>Liferay DXP / Drupal Enterprise</t>
        </is>
      </c>
      <c r="H14" s="4" t="inlineStr">
        <is>
          <t>Nelimitat (185k useri)</t>
        </is>
      </c>
      <c r="I14" s="4" t="inlineStr">
        <is>
          <t>Perpetuu, fara limita</t>
        </is>
      </c>
      <c r="J14" s="4" t="inlineStr">
        <is>
          <t>Cloud guvernamental</t>
        </is>
      </c>
      <c r="K14" s="4" t="inlineStr">
        <is>
          <t>3.4.3.3.2; 3.5</t>
        </is>
      </c>
      <c r="L14" s="4" t="inlineStr">
        <is>
          <t>Vezi sheet Portal pt. estimare efort</t>
        </is>
      </c>
    </row>
    <row r="15">
      <c r="A15" s="4" t="n">
        <v>14</v>
      </c>
      <c r="B15" s="4" t="inlineStr">
        <is>
          <t>B. Software aplicativ</t>
        </is>
      </c>
      <c r="C15" s="4" t="inlineStr">
        <is>
          <t>Chatbot / asistent virtual</t>
        </is>
      </c>
      <c r="D15" s="5" t="inlineStr">
        <is>
          <t>pg.86-87</t>
        </is>
      </c>
      <c r="E15" s="4" t="inlineStr">
        <is>
          <t>NLP RO; auto-raspuns; escaladare la operator.</t>
        </is>
      </c>
      <c r="F15" s="4" t="inlineStr">
        <is>
          <t>Rasa Open Source / MS Bot Framework</t>
        </is>
      </c>
      <c r="G15" s="4" t="inlineStr">
        <is>
          <t>Dialogflow CX / Watson Assistant / Tovie</t>
        </is>
      </c>
      <c r="H15" s="4" t="inlineStr">
        <is>
          <t>1 instanta + nelimitat conversatii</t>
        </is>
      </c>
      <c r="I15" s="4" t="inlineStr">
        <is>
          <t>Per instanta / per intent</t>
        </is>
      </c>
      <c r="J15" s="4" t="inlineStr">
        <is>
          <t>Cloud guvernamental</t>
        </is>
      </c>
      <c r="K15" s="4" t="inlineStr">
        <is>
          <t>3.4.3.3.2.1</t>
        </is>
      </c>
      <c r="L15" s="4" t="inlineStr">
        <is>
          <t>Limba RO + domeniu veterinar; min. 50 intents kickoff?</t>
        </is>
      </c>
    </row>
    <row r="16">
      <c r="A16" s="4" t="n">
        <v>15</v>
      </c>
      <c r="B16" s="4" t="inlineStr">
        <is>
          <t>B. Software aplicativ</t>
        </is>
      </c>
      <c r="C16" s="4" t="inlineStr">
        <is>
          <t>Aplicatie mobila cetateni</t>
        </is>
      </c>
      <c r="D16" s="5" t="inlineStr">
        <is>
          <t>pg.87-88</t>
        </is>
      </c>
      <c r="E16" s="4" t="inlineStr">
        <is>
          <t>PWA + nativ iOS + Android; raportare animale salbatice; GPS; foto.</t>
        </is>
      </c>
      <c r="F16" s="4" t="inlineStr">
        <is>
          <t>Nativ iOS (Swift) + Android (Kotlin) + PWA</t>
        </is>
      </c>
      <c r="G16" s="4" t="inlineStr">
        <is>
          <t>Flutter / React Native / Ionic</t>
        </is>
      </c>
      <c r="H16" s="4" t="inlineStr">
        <is>
          <t>Publicare Play + 99$/an Apple</t>
        </is>
      </c>
      <c r="I16" s="4" t="inlineStr">
        <is>
          <t>Free + 99$/an Apple</t>
        </is>
      </c>
      <c r="J16" s="4" t="inlineStr">
        <is>
          <t>Magazine app (Play/App Store)</t>
        </is>
      </c>
      <c r="K16" s="4" t="inlineStr">
        <is>
          <t>3.4.3.3.2.2; 3.4.2.11</t>
        </is>
      </c>
      <c r="L16" s="4" t="inlineStr">
        <is>
          <t>Vezi sheet AppMobilaCetateni pt. estimare efort</t>
        </is>
      </c>
    </row>
    <row r="17">
      <c r="A17" s="4" t="n">
        <v>16</v>
      </c>
      <c r="B17" s="4" t="inlineStr">
        <is>
          <t>B. Software aplicativ</t>
        </is>
      </c>
      <c r="C17" s="4" t="inlineStr">
        <is>
          <t>LIMS</t>
        </is>
      </c>
      <c r="D17" s="5" t="inlineStr">
        <is>
          <t>pg.88-94</t>
        </is>
      </c>
      <c r="E17" s="4" t="inlineStr">
        <is>
          <t>Cereri analize cod bare; HL7; trasabilitate probe; subesantioane.</t>
        </is>
      </c>
      <c r="F17" s="4" t="inlineStr">
        <is>
          <t>Custom dezvoltat VOGO TECHNOLOGY</t>
        </is>
      </c>
      <c r="G17" s="4" t="inlineStr">
        <is>
          <t>Modulo LIMS / STARLIMS / LabWare</t>
        </is>
      </c>
      <c r="H17" s="4" t="inlineStr">
        <is>
          <t>Nelimitat useri + cod sursa</t>
        </is>
      </c>
      <c r="I17" s="4" t="inlineStr">
        <is>
          <t>Perpetuu, fara limita</t>
        </is>
      </c>
      <c r="J17" s="4" t="inlineStr">
        <is>
          <t>Cloud guv. + 3 institute + 42 lab DSVSA</t>
        </is>
      </c>
      <c r="K17" s="4" t="inlineStr">
        <is>
          <t>3.4.3.3.3</t>
        </is>
      </c>
      <c r="L17" s="4" t="inlineStr">
        <is>
          <t>Cerinta CdS line 1657: perpetuu + cod sursa. Dezvoltam in-house</t>
        </is>
      </c>
    </row>
    <row r="18">
      <c r="A18" s="4" t="n">
        <v>17</v>
      </c>
      <c r="B18" s="4" t="inlineStr">
        <is>
          <t>B. Software aplicativ</t>
        </is>
      </c>
      <c r="C18" s="4" t="inlineStr">
        <is>
          <t>Sistem interoperabilitate HL7</t>
        </is>
      </c>
      <c r="D18" s="5" t="inlineStr">
        <is>
          <t>pg.94-96</t>
        </is>
      </c>
      <c r="E18" s="4" t="inlineStr">
        <is>
          <t>Gateway BD relationala ↔ HL7; ADT, ORM, ORU; configurabil.</t>
        </is>
      </c>
      <c r="F18" s="4" t="inlineStr">
        <is>
          <t>Mirth Connect / NextGen Connect</t>
        </is>
      </c>
      <c r="G18" s="4" t="inlineStr">
        <is>
          <t>InterSystems / Iguana / Corepoint</t>
        </is>
      </c>
      <c r="H18" s="4" t="inlineStr">
        <is>
          <t>1 instanta</t>
        </is>
      </c>
      <c r="I18" s="4" t="inlineStr">
        <is>
          <t>Per instanta</t>
        </is>
      </c>
      <c r="J18" s="4" t="inlineStr">
        <is>
          <t>Cloud guvernamental</t>
        </is>
      </c>
      <c r="K18" s="4" t="inlineStr">
        <is>
          <t>3.4.3.3.3.2</t>
        </is>
      </c>
      <c r="L18" s="4" t="inlineStr">
        <is>
          <t>Vezi sheet HL7 pt. estimare efort</t>
        </is>
      </c>
    </row>
    <row r="19">
      <c r="A19" s="6" t="n">
        <v>18</v>
      </c>
      <c r="B19" s="6" t="inlineStr">
        <is>
          <t>C. Securitate (appliance SW)</t>
        </is>
      </c>
      <c r="C19" s="6" t="inlineStr">
        <is>
          <t>WAF</t>
        </is>
      </c>
      <c r="D19" s="7" t="inlineStr">
        <is>
          <t>pg.98-101</t>
        </is>
      </c>
      <c r="E19" s="6" t="inlineStr">
        <is>
          <t>Appliance virtual; OWASP Top 10; DoS app-layer.</t>
        </is>
      </c>
      <c r="F19" s="6" t="inlineStr">
        <is>
          <t>F5 Advanced WAF / Imperva / FortiWeb</t>
        </is>
      </c>
      <c r="G19" s="6" t="inlineStr">
        <is>
          <t>Cloudflare WAF / Akamai Kona</t>
        </is>
      </c>
      <c r="H19" s="6" t="inlineStr">
        <is>
          <t>2 buc.</t>
        </is>
      </c>
      <c r="I19" s="6" t="inlineStr">
        <is>
          <t>Per appliance + 3 ani updates</t>
        </is>
      </c>
      <c r="J19" s="6" t="inlineStr">
        <is>
          <t>Centrul de date</t>
        </is>
      </c>
      <c r="K19" s="6" t="inlineStr">
        <is>
          <t>3.4.3.4.1.1</t>
        </is>
      </c>
      <c r="L19" s="6" t="inlineStr">
        <is>
          <t>Cluster activ-activ pt. HA</t>
        </is>
      </c>
    </row>
    <row r="20">
      <c r="A20" s="6" t="n">
        <v>19</v>
      </c>
      <c r="B20" s="6" t="inlineStr">
        <is>
          <t>C. Securitate (appliance SW)</t>
        </is>
      </c>
      <c r="C20" s="6" t="inlineStr">
        <is>
          <t>Honeypot</t>
        </is>
      </c>
      <c r="D20" s="7" t="inlineStr">
        <is>
          <t>pg.101-105</t>
        </is>
      </c>
      <c r="E20" s="6" t="inlineStr">
        <is>
          <t>4 instante Windows × 4 vCPU; Anti-Reconnaissance.</t>
        </is>
      </c>
      <c r="F20" s="6" t="inlineStr">
        <is>
          <t>Fortinet FortiDeceptor</t>
        </is>
      </c>
      <c r="G20" s="6" t="inlineStr">
        <is>
          <t>SentinelOne Singularity / TrapX</t>
        </is>
      </c>
      <c r="H20" s="6" t="inlineStr">
        <is>
          <t>1 buc. + 4 Windows Server</t>
        </is>
      </c>
      <c r="I20" s="6" t="inlineStr">
        <is>
          <t>Per appliance + 4× Windows</t>
        </is>
      </c>
      <c r="J20" s="6" t="inlineStr">
        <is>
          <t>Centrul de date</t>
        </is>
      </c>
      <c r="K20" s="6" t="inlineStr">
        <is>
          <t>3.4.3.4.1.2</t>
        </is>
      </c>
      <c r="L20" s="6" t="inlineStr">
        <is>
          <t>Cele 4 Windows incluse in produs sau separat?</t>
        </is>
      </c>
    </row>
    <row r="21">
      <c r="A21" s="6" t="n">
        <v>20</v>
      </c>
      <c r="B21" s="6" t="inlineStr">
        <is>
          <t>C. Securitate (appliance SW)</t>
        </is>
      </c>
      <c r="C21" s="6" t="inlineStr">
        <is>
          <t>Network Management (NMS/NAC)</t>
        </is>
      </c>
      <c r="D21" s="7" t="inlineStr">
        <is>
          <t>pg.105-108</t>
        </is>
      </c>
      <c r="E21" s="6" t="inlineStr">
        <is>
          <t>Min. 600 echipamente; descoperire SNMP/WMI/VM.</t>
        </is>
      </c>
      <c r="F21" s="6" t="inlineStr">
        <is>
          <t>Cisco DNA Center / Aruba ClearPass</t>
        </is>
      </c>
      <c r="G21" s="6" t="inlineStr">
        <is>
          <t>FortiNAC / Extreme Networks</t>
        </is>
      </c>
      <c r="H21" s="6" t="inlineStr">
        <is>
          <t>1 + licenta 600 echipamente</t>
        </is>
      </c>
      <c r="I21" s="6" t="inlineStr">
        <is>
          <t>Per appliance + per device</t>
        </is>
      </c>
      <c r="J21" s="6" t="inlineStr">
        <is>
          <t>Centrul de date</t>
        </is>
      </c>
      <c r="K21" s="6" t="inlineStr">
        <is>
          <t>3.4.3.4.1.3</t>
        </is>
      </c>
      <c r="L21" s="6" t="inlineStr">
        <is>
          <t>Avem ~620 echipamente totale. Marginal vs 600</t>
        </is>
      </c>
    </row>
    <row r="22">
      <c r="A22" s="6" t="n">
        <v>21</v>
      </c>
      <c r="B22" s="6" t="inlineStr">
        <is>
          <t>C. Securitate (appliance SW)</t>
        </is>
      </c>
      <c r="C22" s="6" t="inlineStr">
        <is>
          <t>SIEM</t>
        </is>
      </c>
      <c r="D22" s="7" t="inlineStr">
        <is>
          <t>pg.108-113</t>
        </is>
      </c>
      <c r="E22" s="6" t="inlineStr">
        <is>
          <t>NoSQL log; corelare; IOC 3 ani; alerte.</t>
        </is>
      </c>
      <c r="F22" s="6" t="inlineStr">
        <is>
          <t>Splunk ES / IBM QRadar</t>
        </is>
      </c>
      <c r="G22" s="6" t="inlineStr">
        <is>
          <t>Wazuh + Elastic / Microsoft Sentinel</t>
        </is>
      </c>
      <c r="H22" s="6" t="inlineStr">
        <is>
          <t>1 cluster + 3 ani updates</t>
        </is>
      </c>
      <c r="I22" s="6" t="inlineStr">
        <is>
          <t>Per GB/zi</t>
        </is>
      </c>
      <c r="J22" s="6" t="inlineStr">
        <is>
          <t>Centrul de date</t>
        </is>
      </c>
      <c r="K22" s="6" t="inlineStr">
        <is>
          <t>3.4.3.4.1.4</t>
        </is>
      </c>
      <c r="L22" s="6" t="inlineStr">
        <is>
          <t>Volum log-uri/zi determinant pt. cost</t>
        </is>
      </c>
    </row>
    <row r="23">
      <c r="A23" s="6" t="n">
        <v>22</v>
      </c>
      <c r="B23" s="6" t="inlineStr">
        <is>
          <t>C. Securitate (appliance SW)</t>
        </is>
      </c>
      <c r="C23" s="6" t="inlineStr">
        <is>
          <t>Email Security Gateway</t>
        </is>
      </c>
      <c r="D23" s="7" t="inlineStr">
        <is>
          <t>pg.113-118</t>
        </is>
      </c>
      <c r="E23" s="6" t="inlineStr">
        <is>
          <t>Filtrare mesagerie; sandbox cloud.</t>
        </is>
      </c>
      <c r="F23" s="6" t="inlineStr">
        <is>
          <t>Cisco IronPort ESA</t>
        </is>
      </c>
      <c r="G23" s="6" t="inlineStr">
        <is>
          <t>Proofpoint / Barracuda / FortiMail</t>
        </is>
      </c>
      <c r="H23" s="6" t="inlineStr">
        <is>
          <t>2 buc.</t>
        </is>
      </c>
      <c r="I23" s="6" t="inlineStr">
        <is>
          <t>Per appliance + per mailbox</t>
        </is>
      </c>
      <c r="J23" s="6" t="inlineStr">
        <is>
          <t>Centrul de date</t>
        </is>
      </c>
      <c r="K23" s="6" t="inlineStr">
        <is>
          <t>3.4.3.4.1.5</t>
        </is>
      </c>
      <c r="L23" s="6" t="inlineStr">
        <is>
          <t>Ce nr. mailbox? ~1000-1500 estimat</t>
        </is>
      </c>
    </row>
    <row r="24">
      <c r="A24" s="6" t="n">
        <v>23</v>
      </c>
      <c r="B24" s="6" t="inlineStr">
        <is>
          <t>C. Securitate (appliance SW)</t>
        </is>
      </c>
      <c r="C24" s="6" t="inlineStr">
        <is>
          <t>NGFW centru ANSVSA</t>
        </is>
      </c>
      <c r="D24" s="7" t="inlineStr">
        <is>
          <t>pg.118-127</t>
        </is>
      </c>
      <c r="E24" s="6" t="inlineStr">
        <is>
          <t>NGFW redundant; min. 10 VDOM; single-vendor HW+OS+licente.</t>
        </is>
      </c>
      <c r="F24" s="6" t="inlineStr">
        <is>
          <t>Fortinet FortiGate / Palo Alto PA-Series</t>
        </is>
      </c>
      <c r="G24" s="6" t="inlineStr">
        <is>
          <t>Cisco Firepower / Check Point</t>
        </is>
      </c>
      <c r="H24" s="6" t="inlineStr">
        <is>
          <t>2 buc.</t>
        </is>
      </c>
      <c r="I24" s="6" t="inlineStr">
        <is>
          <t>Per appliance + 10 VDOM</t>
        </is>
      </c>
      <c r="J24" s="6" t="inlineStr">
        <is>
          <t>Centrul ANSVSA Bucuresti</t>
        </is>
      </c>
      <c r="K24" s="6" t="inlineStr">
        <is>
          <t>3.4.3.4.2.1.1</t>
        </is>
      </c>
      <c r="L24" s="6" t="inlineStr">
        <is>
          <t>Single-vendor obligatoriu pe linia 2431</t>
        </is>
      </c>
    </row>
    <row r="25">
      <c r="A25" s="6" t="n">
        <v>24</v>
      </c>
      <c r="B25" s="6" t="inlineStr">
        <is>
          <t>C. Securitate (appliance SW)</t>
        </is>
      </c>
      <c r="C25" s="6" t="inlineStr">
        <is>
          <t>NGFW locatii subordonate</t>
        </is>
      </c>
      <c r="D25" s="7" t="inlineStr">
        <is>
          <t>pg.127-131</t>
        </is>
      </c>
      <c r="E25" s="6" t="inlineStr">
        <is>
          <t>NGFW redundant DSVSA + institute; 10 VDOM/loc.</t>
        </is>
      </c>
      <c r="F25" s="6" t="inlineStr">
        <is>
          <t>Fortinet FortiGate 100F/200F</t>
        </is>
      </c>
      <c r="G25" s="6" t="inlineStr">
        <is>
          <t>Palo Alto PA-440 / Check Point Quantum</t>
        </is>
      </c>
      <c r="H25" s="6" t="inlineStr">
        <is>
          <t>90 buc. (45 loc × 2)</t>
        </is>
      </c>
      <c r="I25" s="6" t="inlineStr">
        <is>
          <t>Per appliance + 3 ani semnaturi</t>
        </is>
      </c>
      <c r="J25" s="6" t="inlineStr">
        <is>
          <t>DSVSA + Institute</t>
        </is>
      </c>
      <c r="K25" s="6" t="inlineStr">
        <is>
          <t>3.4.3.4.2.1.2</t>
        </is>
      </c>
      <c r="L25" s="6" t="inlineStr">
        <is>
          <t>45 × 2 = 90 (match cu line 4150)</t>
        </is>
      </c>
    </row>
    <row r="26">
      <c r="A26" s="8" t="n">
        <v>25</v>
      </c>
      <c r="B26" s="8" t="inlineStr">
        <is>
          <t>D. Productivity / Client</t>
        </is>
      </c>
      <c r="C26" s="8" t="inlineStr">
        <is>
          <t>Microsoft Office (laptopuri)</t>
        </is>
      </c>
      <c r="D26" s="9" t="inlineStr">
        <is>
          <t>pg.144-145</t>
        </is>
      </c>
      <c r="E26" s="8" t="inlineStr">
        <is>
          <t>Office Home &amp; Business sau echivalent, perpetuu preinstalat.</t>
        </is>
      </c>
      <c r="F26" s="8" t="inlineStr">
        <is>
          <t>MS Office Home &amp; Business 2024 OEM</t>
        </is>
      </c>
      <c r="G26" s="8" t="inlineStr">
        <is>
          <t>LibreOffice (echivalent)</t>
        </is>
      </c>
      <c r="H26" s="8" t="inlineStr">
        <is>
          <t>100 buc.</t>
        </is>
      </c>
      <c r="I26" s="8" t="inlineStr">
        <is>
          <t>Per device (OEM perpetuu)</t>
        </is>
      </c>
      <c r="J26" s="8" t="inlineStr">
        <is>
          <t>ANSVSA</t>
        </is>
      </c>
      <c r="K26" s="8" t="inlineStr">
        <is>
          <t>3.4.3.4.2.6</t>
        </is>
      </c>
      <c r="L26" s="8" t="inlineStr">
        <is>
          <t>CdS spune 'sau echivalent'. Recomandam Office original</t>
        </is>
      </c>
    </row>
    <row r="27">
      <c r="A27" s="8" t="n">
        <v>26</v>
      </c>
      <c r="B27" s="8" t="inlineStr">
        <is>
          <t>D. Productivity / Client</t>
        </is>
      </c>
      <c r="C27" s="8" t="inlineStr">
        <is>
          <t>Microsoft Office (complete teren)</t>
        </is>
      </c>
      <c r="D27" s="9" t="inlineStr">
        <is>
          <t>pg.145-147</t>
        </is>
      </c>
      <c r="E27" s="8" t="inlineStr">
        <is>
          <t>Office Home &amp; Business preinstalat pe complete teren.</t>
        </is>
      </c>
      <c r="F27" s="8" t="inlineStr">
        <is>
          <t>MS Office Home &amp; Business 2024 OEM</t>
        </is>
      </c>
      <c r="G27" s="8" t="inlineStr">
        <is>
          <t>LibreOffice</t>
        </is>
      </c>
      <c r="H27" s="8" t="inlineStr">
        <is>
          <t>336 buc. (8 × 42 DSVSA)</t>
        </is>
      </c>
      <c r="I27" s="8" t="inlineStr">
        <is>
          <t>Per device (OEM perpetuu)</t>
        </is>
      </c>
      <c r="J27" s="8" t="inlineStr">
        <is>
          <t>DSVSA (control teren)</t>
        </is>
      </c>
      <c r="K27" s="8" t="inlineStr">
        <is>
          <t>3.4.3.4.2.7</t>
        </is>
      </c>
      <c r="L27" s="8" t="inlineStr">
        <is>
          <t>TOTAL Office = 436 licente</t>
        </is>
      </c>
    </row>
    <row r="28">
      <c r="A28" s="8" t="n">
        <v>27</v>
      </c>
      <c r="B28" s="8" t="inlineStr">
        <is>
          <t>D. Productivity / Client</t>
        </is>
      </c>
      <c r="C28" s="8" t="inlineStr">
        <is>
          <t>Antivirus / Endpoint Protection</t>
        </is>
      </c>
      <c r="D28" s="9" t="inlineStr">
        <is>
          <t>n/a</t>
        </is>
      </c>
      <c r="E28" s="8" t="inlineStr">
        <is>
          <t>Implicit pt. endpoint security; nu explicit in CdS.</t>
        </is>
      </c>
      <c r="F28" s="8" t="inlineStr">
        <is>
          <t>CrowdStrike Falcon / SentinelOne</t>
        </is>
      </c>
      <c r="G28" s="8" t="inlineStr">
        <is>
          <t>ESET PROTECT / Bitdefender GravityZone</t>
        </is>
      </c>
      <c r="H28" s="8" t="inlineStr">
        <is>
          <t>436 endpoints + ~50 servere</t>
        </is>
      </c>
      <c r="I28" s="8" t="inlineStr">
        <is>
          <t>Per endpoint (subscription)</t>
        </is>
      </c>
      <c r="J28" s="8" t="inlineStr">
        <is>
          <t>ANSVSA + DSVSA</t>
        </is>
      </c>
      <c r="K28" s="8" t="inlineStr">
        <is>
          <t>Implicit</t>
        </is>
      </c>
      <c r="L28" s="8" t="inlineStr">
        <is>
          <t>Decizie comerciala - includem sau nu?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18" customWidth="1" min="4" max="4"/>
    <col width="24" customWidth="1" min="5" max="5"/>
    <col width="70" customWidth="1" min="6" max="6"/>
  </cols>
  <sheetData>
    <row r="1" ht="32" customHeight="1">
      <c r="A1" s="1" t="inlineStr">
        <is>
          <t>#</t>
        </is>
      </c>
      <c r="B1" s="1" t="inlineStr">
        <is>
          <t>Componenta</t>
        </is>
      </c>
      <c r="C1" s="1" t="inlineStr">
        <is>
          <t>Cantitate / Limita</t>
        </is>
      </c>
      <c r="D1" s="1" t="inlineStr">
        <is>
          <t>Unitate</t>
        </is>
      </c>
      <c r="E1" s="1" t="inlineStr">
        <is>
          <t>Sursa CdS</t>
        </is>
      </c>
      <c r="F1" s="1" t="inlineStr">
        <is>
          <t>Citat exact</t>
        </is>
      </c>
    </row>
    <row r="2">
      <c r="A2" s="10" t="n">
        <v>1</v>
      </c>
      <c r="B2" s="10" t="inlineStr">
        <is>
          <t>Web server platforma</t>
        </is>
      </c>
      <c r="C2" s="10" t="inlineStr">
        <is>
          <t>16 nuclee per nod</t>
        </is>
      </c>
      <c r="D2" s="10" t="inlineStr">
        <is>
          <t>cores/nod</t>
        </is>
      </c>
      <c r="E2" s="10" t="inlineStr">
        <is>
          <t>3.4.3.2.1 (pg.51-52)</t>
        </is>
      </c>
      <c r="F2" s="10" t="inlineStr">
        <is>
          <t>platforma server web ... cluster, cu cel putin 16 nuclee de procesare per nod</t>
        </is>
      </c>
    </row>
    <row r="3">
      <c r="A3" s="10" t="n">
        <v>2</v>
      </c>
      <c r="B3" s="10" t="inlineStr">
        <is>
          <t>Server aplicatie</t>
        </is>
      </c>
      <c r="C3" s="10" t="inlineStr">
        <is>
          <t>16 nuclee per nod, cluster activ-activ</t>
        </is>
      </c>
      <c r="D3" s="10" t="inlineStr">
        <is>
          <t>cores/nod</t>
        </is>
      </c>
      <c r="E3" s="10" t="inlineStr">
        <is>
          <t>3.4.3.2.2 (pg.52)</t>
        </is>
      </c>
      <c r="F3" s="10" t="inlineStr">
        <is>
          <t>cluster, cu cel putin 16 nuclee de procesare per nod</t>
        </is>
      </c>
    </row>
    <row r="4">
      <c r="A4" s="10" t="n">
        <v>3</v>
      </c>
      <c r="B4" s="10" t="inlineStr">
        <is>
          <t>SGBD (DB)</t>
        </is>
      </c>
      <c r="C4" s="10" t="inlineStr">
        <is>
          <t>Min. 2 noduri × 8 cores = 16 cores</t>
        </is>
      </c>
      <c r="D4" s="10" t="inlineStr">
        <is>
          <t>noduri/cores</t>
        </is>
      </c>
      <c r="E4" s="10" t="inlineStr">
        <is>
          <t>3.4.3.2.4 (pg.54)</t>
        </is>
      </c>
      <c r="F4" s="10" t="inlineStr">
        <is>
          <t>cel putin 2 noduri distincte, fiecare nod cu minim 8 nuclee de procesare</t>
        </is>
      </c>
    </row>
    <row r="5">
      <c r="A5" s="10" t="n">
        <v>4</v>
      </c>
      <c r="B5" s="10" t="inlineStr">
        <is>
          <t>ETL</t>
        </is>
      </c>
      <c r="C5" s="10" t="inlineStr">
        <is>
          <t>16 cores</t>
        </is>
      </c>
      <c r="D5" s="10" t="inlineStr">
        <is>
          <t>cores</t>
        </is>
      </c>
      <c r="E5" s="10" t="inlineStr">
        <is>
          <t>3.4.3.2.5 (pg.57)</t>
        </is>
      </c>
      <c r="F5" s="10" t="inlineStr">
        <is>
          <t>solutia trebuie sa fie dimensionata pentru minim 16 nuclee de procesare</t>
        </is>
      </c>
    </row>
    <row r="6">
      <c r="A6" s="10" t="n">
        <v>5</v>
      </c>
      <c r="B6" s="10" t="inlineStr">
        <is>
          <t>BI / Raportare avansata</t>
        </is>
      </c>
      <c r="C6" s="10" t="inlineStr">
        <is>
          <t>50 utilizatori</t>
        </is>
      </c>
      <c r="D6" s="10" t="inlineStr">
        <is>
          <t>named users</t>
        </is>
      </c>
      <c r="E6" s="10" t="inlineStr">
        <is>
          <t>3.4.3.2.6 (pg.57)</t>
        </is>
      </c>
      <c r="F6" s="10" t="inlineStr">
        <is>
          <t>50 de utilizatori ce vor avea acces la aceasta componenta, solutia trebuind sa fie licentiata pentru acest numar de utilizatori</t>
        </is>
      </c>
    </row>
    <row r="7">
      <c r="A7" s="10" t="n">
        <v>6</v>
      </c>
      <c r="B7" s="10" t="inlineStr">
        <is>
          <t>ESB / Interoperabilitate</t>
        </is>
      </c>
      <c r="C7" s="10" t="inlineStr">
        <is>
          <t>16 cores per nod, cluster activ-pasiv</t>
        </is>
      </c>
      <c r="D7" s="10" t="inlineStr">
        <is>
          <t>cores/nod</t>
        </is>
      </c>
      <c r="E7" s="10" t="inlineStr">
        <is>
          <t>3.4.3.2.9 (pg.64)</t>
        </is>
      </c>
      <c r="F7" s="10" t="inlineStr">
        <is>
          <t>cluster activ-pasiv ... cu cel putin 16 nuclee de procesare per nod</t>
        </is>
      </c>
    </row>
    <row r="8">
      <c r="A8" s="10" t="n">
        <v>7</v>
      </c>
      <c r="B8" s="10" t="inlineStr">
        <is>
          <t>LIMS</t>
        </is>
      </c>
      <c r="C8" s="10" t="inlineStr">
        <is>
          <t>NELIMITAT useri, perpetuu + 3 ani suport L2+L3</t>
        </is>
      </c>
      <c r="D8" s="10" t="inlineStr">
        <is>
          <t>users</t>
        </is>
      </c>
      <c r="E8" s="10" t="inlineStr">
        <is>
          <t>3.4.3.3.3 (pg.93)</t>
        </is>
      </c>
      <c r="F8" s="10" t="inlineStr">
        <is>
          <t>licenta perpetua pentru un numar nelimitat de utilizatori ... suport tehnic nivel 2 si nivel 3 pentru 3 ani</t>
        </is>
      </c>
    </row>
    <row r="9">
      <c r="A9" s="10" t="n">
        <v>8</v>
      </c>
      <c r="B9" s="10" t="inlineStr">
        <is>
          <t>SW aplicative (toate)</t>
        </is>
      </c>
      <c r="C9" s="10" t="inlineStr">
        <is>
          <t>Licente perpetue + cod sursa integral</t>
        </is>
      </c>
      <c r="D9" s="10" t="inlineStr">
        <is>
          <t>—</t>
        </is>
      </c>
      <c r="E9" s="10" t="inlineStr">
        <is>
          <t>3.4.3.3.4 (pg.96)</t>
        </is>
      </c>
      <c r="F9" s="10" t="inlineStr">
        <is>
          <t>licente de tip perpetuu, precum si codul sursa al acestora in integralitatea sa</t>
        </is>
      </c>
    </row>
    <row r="10">
      <c r="A10" s="10" t="n">
        <v>9</v>
      </c>
      <c r="B10" s="10" t="inlineStr">
        <is>
          <t>WAF</t>
        </is>
      </c>
      <c r="C10" s="10" t="inlineStr">
        <is>
          <t>NU se licentiaza per nr. utilizatori</t>
        </is>
      </c>
      <c r="D10" s="10" t="inlineStr">
        <is>
          <t>—</t>
        </is>
      </c>
      <c r="E10" s="10" t="inlineStr">
        <is>
          <t>3.4.3.4.1.1 (pg.100)</t>
        </is>
      </c>
      <c r="F10" s="10" t="inlineStr">
        <is>
          <t>Sistemul nu trebuie licentiat per numar de utilizatori</t>
        </is>
      </c>
    </row>
    <row r="11">
      <c r="A11" s="10" t="n">
        <v>10</v>
      </c>
      <c r="B11" s="10" t="inlineStr">
        <is>
          <t>Honeypot</t>
        </is>
      </c>
      <c r="C11" s="10" t="inlineStr">
        <is>
          <t>4 instante Windows Server × 4 vCPU</t>
        </is>
      </c>
      <c r="D11" s="10" t="inlineStr">
        <is>
          <t>instante</t>
        </is>
      </c>
      <c r="E11" s="10" t="inlineStr">
        <is>
          <t>3.4.3.4.1.2 (pg.105)</t>
        </is>
      </c>
      <c r="F11" s="10" t="inlineStr">
        <is>
          <t>4 instante capcana ... Windows Server, fiecare capcana ... minim 4 core-uri virtuale</t>
        </is>
      </c>
    </row>
    <row r="12">
      <c r="A12" s="10" t="n">
        <v>11</v>
      </c>
      <c r="B12" s="10" t="inlineStr">
        <is>
          <t>NMS</t>
        </is>
      </c>
      <c r="C12" s="10" t="inlineStr">
        <is>
          <t>Min. 600 echipamente administrate licentiat</t>
        </is>
      </c>
      <c r="D12" s="10" t="inlineStr">
        <is>
          <t>devices</t>
        </is>
      </c>
      <c r="E12" s="10" t="inlineStr">
        <is>
          <t>3.4.3.4.1.3 (pg.108)</t>
        </is>
      </c>
      <c r="F12" s="10" t="inlineStr">
        <is>
          <t>Numar minim de echipamente administrate in mod licentiat: 600</t>
        </is>
      </c>
    </row>
    <row r="13">
      <c r="A13" s="10" t="n">
        <v>12</v>
      </c>
      <c r="B13" s="10" t="inlineStr">
        <is>
          <t>NGFW centru ANSVSA</t>
        </is>
      </c>
      <c r="C13" s="10" t="inlineStr">
        <is>
          <t>Min. 10 instante virtuale</t>
        </is>
      </c>
      <c r="D13" s="10" t="inlineStr">
        <is>
          <t>VDOM/VM</t>
        </is>
      </c>
      <c r="E13" s="10" t="inlineStr">
        <is>
          <t>3.4.3.4.2.1.1 (pg.122)</t>
        </is>
      </c>
      <c r="F13" s="10" t="inlineStr">
        <is>
          <t>Instante virtuale licentiate: minim 10</t>
        </is>
      </c>
    </row>
    <row r="14">
      <c r="A14" s="10" t="n">
        <v>13</v>
      </c>
      <c r="B14" s="10" t="inlineStr">
        <is>
          <t>NGFW locatii subordonate</t>
        </is>
      </c>
      <c r="C14" s="10" t="inlineStr">
        <is>
          <t>Min. 10 instante virtuale per echipament</t>
        </is>
      </c>
      <c r="D14" s="10" t="inlineStr">
        <is>
          <t>VDOM/VM</t>
        </is>
      </c>
      <c r="E14" s="10" t="inlineStr">
        <is>
          <t>3.4.3.4.2.1.2 (pg.130)</t>
        </is>
      </c>
      <c r="F14" s="10" t="inlineStr">
        <is>
          <t>Licenta pentru 10 instante virtuale</t>
        </is>
      </c>
    </row>
    <row r="15">
      <c r="A15" s="10" t="n">
        <v>14</v>
      </c>
      <c r="B15" s="10" t="inlineStr">
        <is>
          <t>Laptop ANSVSA</t>
        </is>
      </c>
      <c r="C15" s="10" t="inlineStr">
        <is>
          <t>100 buc. Office perpetuu</t>
        </is>
      </c>
      <c r="D15" s="10" t="inlineStr">
        <is>
          <t>device</t>
        </is>
      </c>
      <c r="E15" s="10" t="inlineStr">
        <is>
          <t>3.4.3.4.2.6 (pg.144)</t>
        </is>
      </c>
      <c r="F15" s="10" t="inlineStr">
        <is>
          <t>100 de laptopuri ... Microsoft Office Home &amp; Business sau echivalent preinstalat, licenta perpetua</t>
        </is>
      </c>
    </row>
    <row r="16">
      <c r="A16" s="10" t="n">
        <v>15</v>
      </c>
      <c r="B16" s="10" t="inlineStr">
        <is>
          <t>Complete teren DSVSA</t>
        </is>
      </c>
      <c r="C16" s="10" t="inlineStr">
        <is>
          <t>336 buc. (8/DSVSA × 42) Office perpetuu</t>
        </is>
      </c>
      <c r="D16" s="10" t="inlineStr">
        <is>
          <t>device</t>
        </is>
      </c>
      <c r="E16" s="10" t="inlineStr">
        <is>
          <t>3.4.3.4.2.7 (pg.145)</t>
        </is>
      </c>
      <c r="F16" s="10" t="inlineStr">
        <is>
          <t>8 in fiecare DSVSA ... Microsoft Office Home &amp; Business sau echivalent preinstalat, licenta perpetua</t>
        </is>
      </c>
    </row>
    <row r="17">
      <c r="A17" s="10" t="n">
        <v>16</v>
      </c>
      <c r="B17" s="10" t="inlineStr">
        <is>
          <t>Institutii beneficiare</t>
        </is>
      </c>
      <c r="C17" s="10" t="inlineStr">
        <is>
          <t>46 institutii</t>
        </is>
      </c>
      <c r="D17" s="10" t="inlineStr">
        <is>
          <t>—</t>
        </is>
      </c>
      <c r="E17" s="10" t="inlineStr">
        <is>
          <t>3.5 (pg.162)</t>
        </is>
      </c>
      <c r="F17" s="10" t="inlineStr">
        <is>
          <t>46 institutii publice ... (ANSVSA + 42 directii + 3 institute)</t>
        </is>
      </c>
    </row>
    <row r="18">
      <c r="A18" s="10" t="n">
        <v>17</v>
      </c>
      <c r="B18" s="10" t="inlineStr">
        <is>
          <t>Utilizatori portal</t>
        </is>
      </c>
      <c r="C18" s="10" t="inlineStr">
        <is>
          <t>185.000/an</t>
        </is>
      </c>
      <c r="D18" s="10" t="inlineStr">
        <is>
          <t>useri</t>
        </is>
      </c>
      <c r="E18" s="10" t="inlineStr">
        <is>
          <t>3.5 (pg.162)</t>
        </is>
      </c>
      <c r="F18" s="10" t="inlineStr">
        <is>
          <t>185.000 utilizatori de servicii publice digitale noi si optimizate/an</t>
        </is>
      </c>
    </row>
    <row r="19">
      <c r="A19" s="10" t="n">
        <v>18</v>
      </c>
      <c r="B19" s="10" t="inlineStr">
        <is>
          <t>Servicii electronice</t>
        </is>
      </c>
      <c r="C19" s="10" t="inlineStr">
        <is>
          <t>56 servicii</t>
        </is>
      </c>
      <c r="D19" s="10" t="inlineStr">
        <is>
          <t>—</t>
        </is>
      </c>
      <c r="E19" s="10" t="inlineStr">
        <is>
          <t>3.5</t>
        </is>
      </c>
      <c r="F19" s="10" t="inlineStr">
        <is>
          <t>56 de servicii electronice publice</t>
        </is>
      </c>
    </row>
    <row r="20">
      <c r="A20" s="10" t="n">
        <v>19</v>
      </c>
      <c r="B20" s="10" t="inlineStr">
        <is>
          <t>Utilizatori instruiti</t>
        </is>
      </c>
      <c r="C20" s="10" t="inlineStr">
        <is>
          <t>144 useri cheie + 3 administratori</t>
        </is>
      </c>
      <c r="D20" s="10" t="inlineStr">
        <is>
          <t>useri</t>
        </is>
      </c>
      <c r="E20" s="10" t="inlineStr">
        <is>
          <t>3.5 (pg.162)</t>
        </is>
      </c>
      <c r="F20" s="10" t="inlineStr">
        <is>
          <t>144 de utilizatori ... 3 administratori</t>
        </is>
      </c>
    </row>
    <row r="21">
      <c r="A21" s="10" t="n">
        <v>20</v>
      </c>
      <c r="B21" s="10" t="inlineStr">
        <is>
          <t>BYOL Azure Stack</t>
        </is>
      </c>
      <c r="C21" s="10" t="inlineStr">
        <is>
          <t>TOATE licentele COTS BYOL</t>
        </is>
      </c>
      <c r="D21" s="10" t="inlineStr">
        <is>
          <t>—</t>
        </is>
      </c>
      <c r="E21" s="10" t="inlineStr">
        <is>
          <t>3.4.3.1 (pg.49)</t>
        </is>
      </c>
      <c r="F21" s="10" t="inlineStr">
        <is>
          <t>Licentele de tip COTS ... in regim Bring Your Own License (BYOL)</t>
        </is>
      </c>
    </row>
    <row r="22">
      <c r="A22" s="10" t="n">
        <v>21</v>
      </c>
      <c r="B22" s="10" t="inlineStr">
        <is>
          <t>VALOARE TOTALA PROIECT</t>
        </is>
      </c>
      <c r="C22" s="10" t="inlineStr">
        <is>
          <t>95.271.200,60 RON (fara TVA)</t>
        </is>
      </c>
      <c r="D22" s="10" t="inlineStr">
        <is>
          <t>RON</t>
        </is>
      </c>
      <c r="E22" s="10" t="inlineStr">
        <is>
          <t>Anexa propunere financiara</t>
        </is>
      </c>
      <c r="F22" s="10" t="inlineStr">
        <is>
          <t>Val totala eligibila finantata a intregului proiect</t>
        </is>
      </c>
    </row>
    <row r="23">
      <c r="A23" s="10" t="n">
        <v>22</v>
      </c>
      <c r="B23" s="10" t="inlineStr">
        <is>
          <t>Bugetul ECHIPAMENTE</t>
        </is>
      </c>
      <c r="C23" s="10" t="inlineStr">
        <is>
          <t>Max 20% = 19.054.240,12 RON</t>
        </is>
      </c>
      <c r="D23" s="10" t="inlineStr">
        <is>
          <t>RON</t>
        </is>
      </c>
      <c r="E23" s="10" t="inlineStr">
        <is>
          <t>Anexa propunere financiara</t>
        </is>
      </c>
      <c r="F23" s="10" t="inlineStr">
        <is>
          <t>Echipamente: maxim 20% din valoarea finantata</t>
        </is>
      </c>
    </row>
    <row r="24">
      <c r="A24" s="10" t="n">
        <v>23</v>
      </c>
      <c r="B24" s="10" t="inlineStr">
        <is>
          <t>Bugetul SECURITATE</t>
        </is>
      </c>
      <c r="C24" s="10" t="inlineStr">
        <is>
          <t>Min 10% = 9.527.120,06 RON</t>
        </is>
      </c>
      <c r="D24" s="10" t="inlineStr">
        <is>
          <t>RON</t>
        </is>
      </c>
      <c r="E24" s="10" t="inlineStr">
        <is>
          <t>Anexa propunere financiara</t>
        </is>
      </c>
      <c r="F24" s="10" t="inlineStr">
        <is>
          <t>Securitate: minim 10% din valoarea finantata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" customWidth="1" min="3" max="3"/>
    <col width="58" customWidth="1" min="4" max="4"/>
    <col width="58" customWidth="1" min="5" max="5"/>
  </cols>
  <sheetData>
    <row r="1">
      <c r="A1" s="11" t="inlineStr">
        <is>
          <t>Estimare efort - Aplicatie mobila cetateni (3.4.3.3.2.2, pg.87-88 CdS) - VERSIUNE REALISTA</t>
        </is>
      </c>
    </row>
    <row r="2" ht="50" customHeight="1">
      <c r="A2" s="12" t="inlineStr">
        <is>
          <t>Scope: Nativ iOS (Swift) + Android (Kotlin) + PWA companion; raportare animale salbatice; GPS; camera; offline-first; auth ROeID; push notifications; A11y WCAG 2.1 AA; OWASP MASVS L1; publicare stores; 3 ani garantie.</t>
        </is>
      </c>
    </row>
    <row r="4" ht="28" customHeight="1">
      <c r="A4" s="1" t="inlineStr">
        <is>
          <t>Faza</t>
        </is>
      </c>
      <c r="B4" s="1" t="inlineStr">
        <is>
          <t>Estimat man-day</t>
        </is>
      </c>
      <c r="C4" s="1" t="inlineStr">
        <is>
          <t>Risk %</t>
        </is>
      </c>
      <c r="D4" s="1" t="inlineStr">
        <is>
          <t>Descriere risc</t>
        </is>
      </c>
      <c r="E4" s="1" t="inlineStr">
        <is>
          <t>Note / Livrabile</t>
        </is>
      </c>
    </row>
    <row r="5">
      <c r="A5" s="10" t="inlineStr">
        <is>
          <t>1. Analiza cerinte business + workshop-uri stakeholderi</t>
        </is>
      </c>
      <c r="B5" s="13" t="n">
        <v>22</v>
      </c>
      <c r="C5" s="14" t="n">
        <v>0.15</v>
      </c>
      <c r="D5" s="10" t="inlineStr">
        <is>
          <t>Multiple stakeholders (ANSVSA + DSVSA + medici vet); flow-uri detaliate lipsesc in CdS; min. 5-7 workshop-uri</t>
        </is>
      </c>
      <c r="E5" s="10" t="inlineStr">
        <is>
          <t>User stories detaliate; persona-uri; journey maps; backlog prioritizat</t>
        </is>
      </c>
    </row>
    <row r="6">
      <c r="A6" s="10" t="inlineStr">
        <is>
          <t>2. UX research + wireframes Lo-Fi</t>
        </is>
      </c>
      <c r="B6" s="13" t="n">
        <v>28</v>
      </c>
      <c r="C6" s="14" t="n">
        <v>0.2</v>
      </c>
      <c r="D6" s="10" t="inlineStr">
        <is>
          <t>Material 3 (Android) + iOS HIG + WCAG 2.1 AA; min. 3-4 iteratii cu beneficiar; risc rework dupa testare cu utilizatori</t>
        </is>
      </c>
      <c r="E6" s="10" t="inlineStr">
        <is>
          <t>Wireframes Figma; arborescent navigare; test moderat 5-8 utilizatori</t>
        </is>
      </c>
    </row>
    <row r="7">
      <c r="A7" s="10" t="inlineStr">
        <is>
          <t>3. UI design Hi-Fi + design system + assets brand</t>
        </is>
      </c>
      <c r="B7" s="13" t="n">
        <v>32</v>
      </c>
      <c r="C7" s="14" t="n">
        <v>0.15</v>
      </c>
      <c r="D7" s="10" t="inlineStr">
        <is>
          <t>Atomic design; icon set custom veterinary; alignment cu brand ANSVSA; 30+ ecrane</t>
        </is>
      </c>
      <c r="E7" s="10" t="inlineStr">
        <is>
          <t>Figma library complet; assets export iOS/Android/PWA; design tokens; prototype clickable</t>
        </is>
      </c>
    </row>
    <row r="8">
      <c r="A8" s="10" t="inlineStr">
        <is>
          <t>4. Arhitectura tehnica + ADR + setup proiect</t>
        </is>
      </c>
      <c r="B8" s="13" t="n">
        <v>22</v>
      </c>
      <c r="C8" s="14" t="n">
        <v>0.1</v>
      </c>
      <c r="D8" s="10" t="inlineStr">
        <is>
          <t>CdS impune NATIV - alegem nativ pur (Swift + Kotlin); setup repo 3 platforme; CI/CD Fastlane; certificate signing</t>
        </is>
      </c>
      <c r="E8" s="10" t="inlineStr">
        <is>
          <t>ADR-uri; setup repo; pipeline build iOS/Android/PWA; Apple Dev Account + Google Play Console</t>
        </is>
      </c>
    </row>
    <row r="9">
      <c r="A9" s="10" t="inlineStr">
        <is>
          <t>5. Dezvoltare iOS nativ (Swift + SwiftUI) - 30+ ecrane</t>
        </is>
      </c>
      <c r="B9" s="13" t="n">
        <v>75</v>
      </c>
      <c r="C9" s="14" t="n">
        <v>0.25</v>
      </c>
      <c r="D9" s="10" t="inlineStr">
        <is>
          <t>Navigare, state mgmt, persistenta CoreData, networking, theming dark/light; testing pe iOS 16/17/18</t>
        </is>
      </c>
      <c r="E9" s="10" t="inlineStr">
        <is>
          <t>Build IPA semnat; TestFlight beta; coverage unit &gt; 70%</t>
        </is>
      </c>
    </row>
    <row r="10">
      <c r="A10" s="10" t="inlineStr">
        <is>
          <t>6. Dezvoltare Android nativ (Kotlin + Jetpack Compose) - 30+ ecrane</t>
        </is>
      </c>
      <c r="B10" s="13" t="n">
        <v>75</v>
      </c>
      <c r="C10" s="14" t="n">
        <v>0.25</v>
      </c>
      <c r="D10" s="10" t="inlineStr">
        <is>
          <t>Navigation, ViewModel, Room, Retrofit, Material 3; testing pe Android 11-15 + fragmentare ecran</t>
        </is>
      </c>
      <c r="E10" s="10" t="inlineStr">
        <is>
          <t>Build APK/AAB semnat; Internal Track beta; coverage unit &gt; 70%</t>
        </is>
      </c>
    </row>
    <row r="11">
      <c r="A11" s="10" t="inlineStr">
        <is>
          <t>7. Dezvoltare PWA web companion</t>
        </is>
      </c>
      <c r="B11" s="13" t="n">
        <v>35</v>
      </c>
      <c r="C11" s="14" t="n">
        <v>0.15</v>
      </c>
      <c r="D11" s="10" t="inlineStr">
        <is>
          <t>Service workers, offline cache, web push, install manifest; Lighthouse &gt; 90</t>
        </is>
      </c>
      <c r="E11" s="10" t="inlineStr">
        <is>
          <t>PWA installabila; manifest valid; offline-first read; push web</t>
        </is>
      </c>
    </row>
    <row r="12">
      <c r="A12" s="10" t="inlineStr">
        <is>
          <t>8. Integrare GPS + harta + offline tiles</t>
        </is>
      </c>
      <c r="B12" s="13" t="n">
        <v>18</v>
      </c>
      <c r="C12" s="14" t="n">
        <v>0.25</v>
      </c>
      <c r="D12" s="10" t="inlineStr">
        <is>
          <t>MapKit / Google Maps / Leaflet; offline tiles RO; geocoding reverse; cost API Google Maps risca depasire buget</t>
        </is>
      </c>
      <c r="E12" s="10" t="inlineStr">
        <is>
          <t>Modul harta common; cache tiles; geocoding service</t>
        </is>
      </c>
    </row>
    <row r="13">
      <c r="A13" s="10" t="inlineStr">
        <is>
          <t>9. Modul camera + foto + EXIF + procesare</t>
        </is>
      </c>
      <c r="B13" s="13" t="n">
        <v>14</v>
      </c>
      <c r="C13" s="14" t="n">
        <v>0.15</v>
      </c>
      <c r="D13" s="10" t="inlineStr">
        <is>
          <t>Captura nativa, compresie, watermark timestamp + geo, EXIF preservation, upload chunked cu retry</t>
        </is>
      </c>
      <c r="E13" s="10" t="inlineStr">
        <is>
          <t>Modul foto common; max 5 foto/raportare; sub-200KB upload</t>
        </is>
      </c>
    </row>
    <row r="14">
      <c r="A14" s="10" t="inlineStr">
        <is>
          <t>10. Push notifications (APNs + FCM + web push)</t>
        </is>
      </c>
      <c r="B14" s="13" t="n">
        <v>12</v>
      </c>
      <c r="C14" s="14" t="n">
        <v>0.15</v>
      </c>
      <c r="D14" s="10" t="inlineStr">
        <is>
          <t>Server-side scheduling, deep linking, segmentare, opt-in/opt-out granular</t>
        </is>
      </c>
      <c r="E14" s="10" t="inlineStr">
        <is>
          <t>Backend OneSignal/Firebase; topics; templating multi-language</t>
        </is>
      </c>
    </row>
    <row r="15">
      <c r="A15" s="10" t="inlineStr">
        <is>
          <t>11. Autentificare + ROeID integrare mobile</t>
        </is>
      </c>
      <c r="B15" s="13" t="n">
        <v>28</v>
      </c>
      <c r="C15" s="14" t="n">
        <v>0.35</v>
      </c>
      <c r="D15" s="10" t="inlineStr">
        <is>
          <t>ROeID docs limitate pe mobile; biometric + secure keystore; risc inalt rework daca ROeID API schimba</t>
        </is>
      </c>
      <c r="E15" s="10" t="inlineStr">
        <is>
          <t>Auth flow ROeID nativ; fallback parola; refresh token; secure storage</t>
        </is>
      </c>
    </row>
    <row r="16">
      <c r="A16" s="10" t="inlineStr">
        <is>
          <t>12. Integrare API backend (BND-SNIIA + Portal + integrari externe)</t>
        </is>
      </c>
      <c r="B16" s="13" t="n">
        <v>40</v>
      </c>
      <c r="C16" s="14" t="n">
        <v>0.25</v>
      </c>
      <c r="D16" s="10" t="inlineStr">
        <is>
          <t>API client SDK, error handling, retry exponential, paginare; dependinta de stabilitatea backend in dezvoltare paralela</t>
        </is>
      </c>
      <c r="E16" s="10" t="inlineStr">
        <is>
          <t>SDK API client; error mapping; offline queue pt. write ops</t>
        </is>
      </c>
    </row>
    <row r="17">
      <c r="A17" s="10" t="inlineStr">
        <is>
          <t>13. Modul offline-first + sync queue + conflict resolution</t>
        </is>
      </c>
      <c r="B17" s="13" t="n">
        <v>22</v>
      </c>
      <c r="C17" s="14" t="n">
        <v>0.25</v>
      </c>
      <c r="D17" s="10" t="inlineStr">
        <is>
          <t>Cetateni cu conectivitate intermitenta (rural); raportari offline care sync ulterior</t>
        </is>
      </c>
      <c r="E17" s="10" t="inlineStr">
        <is>
          <t>Queue persistenta locala; background sync; UI feedback status</t>
        </is>
      </c>
    </row>
    <row r="18">
      <c r="A18" s="10" t="inlineStr">
        <is>
          <t>14. Localizare RO + i18n framework</t>
        </is>
      </c>
      <c r="B18" s="13" t="n">
        <v>8</v>
      </c>
      <c r="C18" s="14" t="n">
        <v>0.05</v>
      </c>
      <c r="D18" s="10" t="inlineStr">
        <is>
          <t>Strings RO + EN; date/number formats; risc strings hardcoded</t>
        </is>
      </c>
      <c r="E18" s="10" t="inlineStr">
        <is>
          <t>i18n strings; pluralizare RO; format date/numere</t>
        </is>
      </c>
    </row>
    <row r="19">
      <c r="A19" s="10" t="inlineStr">
        <is>
          <t>15. Accesibilitate WCAG 2.1 AA implementation</t>
        </is>
      </c>
      <c r="B19" s="13" t="n">
        <v>22</v>
      </c>
      <c r="C19" s="14" t="n">
        <v>0.2</v>
      </c>
      <c r="D19" s="10" t="inlineStr">
        <is>
          <t>VoiceOver + TalkBack + NVDA PWA; focus management; contrast 4.5:1; font scaling 200%</t>
        </is>
      </c>
      <c r="E19" s="10" t="inlineStr">
        <is>
          <t>A11y compliant; raport audit; remediere</t>
        </is>
      </c>
    </row>
    <row r="20">
      <c r="A20" s="10" t="inlineStr">
        <is>
          <t>16. Securitate mobile (OWASP MASVS L1)</t>
        </is>
      </c>
      <c r="B20" s="13" t="n">
        <v>22</v>
      </c>
      <c r="C20" s="14" t="n">
        <v>0.25</v>
      </c>
      <c r="D20" s="10" t="inlineStr">
        <is>
          <t>Cert pinning, jailbreak/root detection, secure storage, ofuscare cod, anti-debugging</t>
        </is>
      </c>
      <c r="E20" s="10" t="inlineStr">
        <is>
          <t>Security controls OWASP MASVS L1; raport audit intern</t>
        </is>
      </c>
    </row>
    <row r="21">
      <c r="A21" s="10" t="inlineStr">
        <is>
          <t>17. Testare unit + integration</t>
        </is>
      </c>
      <c r="B21" s="13" t="n">
        <v>30</v>
      </c>
      <c r="C21" s="14" t="n">
        <v>0.1</v>
      </c>
      <c r="D21" s="10" t="inlineStr">
        <is>
          <t>JUnit/XCTest, mock-uri retea, coverage &gt; 70%</t>
        </is>
      </c>
      <c r="E21" s="10" t="inlineStr">
        <is>
          <t>Coverage report; CI gate</t>
        </is>
      </c>
    </row>
    <row r="22">
      <c r="A22" s="10" t="inlineStr">
        <is>
          <t>18. Testare E2E (Maestro / Appium / Detox)</t>
        </is>
      </c>
      <c r="B22" s="13" t="n">
        <v>25</v>
      </c>
      <c r="C22" s="14" t="n">
        <v>0.15</v>
      </c>
      <c r="D22" s="10" t="inlineStr">
        <is>
          <t>Critical journeys: login -&gt; raportare -&gt; upload foto -&gt; sync</t>
        </is>
      </c>
      <c r="E22" s="10" t="inlineStr">
        <is>
          <t>Test suite E2E; rulare CI; raport per build</t>
        </is>
      </c>
    </row>
    <row r="23">
      <c r="A23" s="10" t="inlineStr">
        <is>
          <t>19. Manual QA pe device fizic (8-10 device-uri)</t>
        </is>
      </c>
      <c r="B23" s="13" t="n">
        <v>28</v>
      </c>
      <c r="C23" s="14" t="n">
        <v>0.15</v>
      </c>
      <c r="D23" s="10" t="inlineStr">
        <is>
          <t>Real device farm: 4 iOS + 6 Android + tablet test</t>
        </is>
      </c>
      <c r="E23" s="10" t="inlineStr">
        <is>
          <t>Device matrix; defect log; regression suite</t>
        </is>
      </c>
    </row>
    <row r="24">
      <c r="A24" s="10" t="inlineStr">
        <is>
          <t>20. Pentest mobil extern + remediere</t>
        </is>
      </c>
      <c r="B24" s="13" t="n">
        <v>15</v>
      </c>
      <c r="C24" s="14" t="n">
        <v>0.25</v>
      </c>
      <c r="D24" s="10" t="inlineStr">
        <is>
          <t>Audit extern OWASP MASVS L1; 2 cicluri pentest tipic; risc defecte critice re-arhitectura</t>
        </is>
      </c>
      <c r="E24" s="10" t="inlineStr">
        <is>
          <t>Raport pentest; remediere; re-test pass</t>
        </is>
      </c>
    </row>
    <row r="25">
      <c r="A25" s="10" t="inlineStr">
        <is>
          <t>21. Publicare Apple App Store + Google Play + Magazin RO</t>
        </is>
      </c>
      <c r="B25" s="13" t="n">
        <v>18</v>
      </c>
      <c r="C25" s="14" t="n">
        <v>0.4</v>
      </c>
      <c r="D25" s="10" t="inlineStr">
        <is>
          <t>Apple review POATE RESPINGE apps gov; 3-5 cicluri review tipic; necesar cont Apple Dev pe ANSVSA cu DUNS</t>
        </is>
      </c>
      <c r="E25" s="10" t="inlineStr">
        <is>
          <t>Listing assets; screenshots 5 dimensiuni; privacy policy; review submission</t>
        </is>
      </c>
    </row>
    <row r="26">
      <c r="A26" s="10" t="inlineStr">
        <is>
          <t>22. Documentatie tehnica + user guide (RO + EN)</t>
        </is>
      </c>
      <c r="B26" s="13" t="n">
        <v>15</v>
      </c>
      <c r="C26" s="14" t="n">
        <v>0.05</v>
      </c>
      <c r="D26" s="10" t="inlineStr">
        <is>
          <t>Manual utilizator RO+EN; admin guide notificari push; release notes</t>
        </is>
      </c>
      <c r="E26" s="10" t="inlineStr">
        <is>
          <t>Manual PDF 30-40 pag; in-app help; video tutorial</t>
        </is>
      </c>
    </row>
    <row r="27">
      <c r="A27" s="10" t="inlineStr">
        <is>
          <t>23. Materiale instruire utilizatori cheie + medici vet</t>
        </is>
      </c>
      <c r="B27" s="13" t="n">
        <v>10</v>
      </c>
      <c r="C27" s="14" t="n">
        <v>0.05</v>
      </c>
      <c r="D27" s="10" t="inlineStr">
        <is>
          <t>Curs scurt pentru DSVSA + medici vet care vor instrui cetatenii</t>
        </is>
      </c>
      <c r="E27" s="10" t="inlineStr">
        <is>
          <t>Slide deck; ghid trainer; demo live</t>
        </is>
      </c>
    </row>
    <row r="28">
      <c r="A28" s="10" t="inlineStr">
        <is>
          <t>24. UAT cu ANSVSA + DSVSA + medici veterinari + cetateni invitati</t>
        </is>
      </c>
      <c r="B28" s="13" t="n">
        <v>28</v>
      </c>
      <c r="C28" s="14" t="n">
        <v>0.2</v>
      </c>
      <c r="D28" s="10" t="inlineStr">
        <is>
          <t>Multi-stakeholder UAT 2-3 saptamani; defect tracking; remediere P1/P2</t>
        </is>
      </c>
      <c r="E28" s="10" t="inlineStr">
        <is>
          <t>UAT plan; defect log; sign-off matrix</t>
        </is>
      </c>
    </row>
    <row r="29">
      <c r="A29" s="10" t="inlineStr">
        <is>
          <t>25. Go-live + hyper-care 2 saptamani</t>
        </is>
      </c>
      <c r="B29" s="13" t="n">
        <v>18</v>
      </c>
      <c r="C29" s="14" t="n">
        <v>0.15</v>
      </c>
      <c r="D29" s="10" t="inlineStr">
        <is>
          <t>Production deploy; activare push; monitoring; on-call 24/7 prima sapt, 12/5 a 2-a</t>
        </is>
      </c>
      <c r="E29" s="10" t="inlineStr">
        <is>
          <t>Production release; monitoring activ; on-call schedule; IRP</t>
        </is>
      </c>
    </row>
    <row r="30">
      <c r="A30" s="15" t="inlineStr">
        <is>
          <t>SUBTOTAL implementare initiala</t>
        </is>
      </c>
      <c r="B30" s="16">
        <f>SUM(B5:B29)</f>
        <v/>
      </c>
      <c r="C30" s="17">
        <f>SUMPRODUCT(B5:B29,C5:C29)/SUM(B5:B29)</f>
        <v/>
      </c>
      <c r="D30" s="15" t="inlineStr">
        <is>
          <t>Risc mediu ponderat pe man-days</t>
        </is>
      </c>
      <c r="E30" s="15" t="inlineStr"/>
    </row>
    <row r="31">
      <c r="A31" s="18" t="inlineStr">
        <is>
          <t>Buffer contingency (20% - recomandat pt. proiect gov IT)</t>
        </is>
      </c>
      <c r="B31" s="19">
        <f>ROUND(B30*0.20,0)</f>
        <v/>
      </c>
      <c r="C31" s="18" t="n"/>
      <c r="D31" s="18" t="n"/>
      <c r="E31" s="18" t="inlineStr">
        <is>
          <t>Industry standard pentru proiecte gov</t>
        </is>
      </c>
    </row>
    <row r="32">
      <c r="A32" s="20" t="inlineStr">
        <is>
          <t>TOTAL IMPLEMENTARE INITIALA + BUFFER</t>
        </is>
      </c>
      <c r="B32" s="20">
        <f>B30+B31</f>
        <v/>
      </c>
      <c r="C32" s="20" t="n"/>
      <c r="D32" s="20" t="n"/>
      <c r="E32" s="20" t="n"/>
    </row>
    <row r="34">
      <c r="A34" s="21" t="inlineStr">
        <is>
          <t>MENTENANTA + SUPORT (3 ani conform CdS)</t>
        </is>
      </c>
      <c r="B34" s="22" t="n"/>
      <c r="C34" s="22" t="n"/>
      <c r="D34" s="22" t="n"/>
      <c r="E34" s="23" t="n"/>
    </row>
    <row r="35">
      <c r="A35" s="1" t="inlineStr">
        <is>
          <t>Faza</t>
        </is>
      </c>
      <c r="B35" s="1" t="inlineStr">
        <is>
          <t>Estimat man-day</t>
        </is>
      </c>
      <c r="C35" s="1" t="inlineStr">
        <is>
          <t>Risk %</t>
        </is>
      </c>
      <c r="D35" s="1" t="inlineStr">
        <is>
          <t>Descriere risc</t>
        </is>
      </c>
      <c r="E35" s="1" t="inlineStr">
        <is>
          <t>Note / Livrabile</t>
        </is>
      </c>
    </row>
    <row r="36">
      <c r="A36" s="10" t="inlineStr">
        <is>
          <t>Mentenanta + suport L2+L3 (per AN; 3 ani conform CdS)</t>
        </is>
      </c>
      <c r="B36" s="13" t="n">
        <v>250</v>
      </c>
      <c r="C36" s="14" t="n">
        <v>0.25</v>
      </c>
      <c r="D36" s="10" t="inlineStr">
        <is>
          <t>iOS+Android lanseaza versiuni majore anual obligatorii; Apple/Google deprecari SDK tipic 2/an cu hard deadlines; politici stores schimba periodic (privacy labels, permissions); security patches OWASP MASVS mandatorii la fiecare CVE relevant; bug fixes; mici adaptari functionale; on-call SLA L2 (4h response) + L3 (escaladare arhitect)</t>
        </is>
      </c>
      <c r="E36" s="10" t="inlineStr">
        <is>
          <t>BREAKDOWN ESTIMAT/AN: ~80z corrective maintenance (bug fixes P1/P2) + ~70z adaptive (compat OS noi, SDK refresh) + ~50z perfective (mici imbunatatiri solicitate de beneficiar) + ~50z on-call SLA L2+L3 (rezervare capacitate). Echivaleaza ~1.2 FTE alocat partial. NU include change requests majore (separate).</t>
        </is>
      </c>
    </row>
    <row r="37">
      <c r="A37" s="24" t="inlineStr">
        <is>
          <t>TOTAL MENTENANTA 3 ani (cumulativ)</t>
        </is>
      </c>
      <c r="B37" s="24">
        <f>B36*3</f>
        <v/>
      </c>
      <c r="C37" s="24" t="n"/>
      <c r="D37" s="24" t="n"/>
      <c r="E37" s="24" t="inlineStr">
        <is>
          <t>Conform CdS - garantie + suport L2+L3 pe 3 ani</t>
        </is>
      </c>
    </row>
  </sheetData>
  <mergeCells count="3">
    <mergeCell ref="A2:E2"/>
    <mergeCell ref="A34:E34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" customWidth="1" min="3" max="3"/>
    <col width="58" customWidth="1" min="4" max="4"/>
    <col width="58" customWidth="1" min="5" max="5"/>
  </cols>
  <sheetData>
    <row r="1">
      <c r="A1" s="11" t="inlineStr">
        <is>
          <t>Estimare efort - Sistem interoperabilitate HL7 gateway LIMS (3.4.3.3.3.2, pg.94-96 CdS) - VERSIUNE REALISTA</t>
        </is>
      </c>
    </row>
    <row r="2" ht="50" customHeight="1">
      <c r="A2" s="12" t="inlineStr">
        <is>
          <t>Scope: Gateway HA intre BD relationala si LIMS-uri externe; mesaje ADT, ORM, ORU, MDM, ACK; mTLS + MLLP; queue + retry + DLQ; integrare 3 institute LIMS reale (IDSA, IISPV, ICBMV); audit GDPR sanitar; backup/restore; performance 1000+ msg/sec; 3 ani garantie.</t>
        </is>
      </c>
    </row>
    <row r="4" ht="28" customHeight="1">
      <c r="A4" s="1" t="inlineStr">
        <is>
          <t>Faza</t>
        </is>
      </c>
      <c r="B4" s="1" t="inlineStr">
        <is>
          <t>Estimat man-day</t>
        </is>
      </c>
      <c r="C4" s="1" t="inlineStr">
        <is>
          <t>Risk %</t>
        </is>
      </c>
      <c r="D4" s="1" t="inlineStr">
        <is>
          <t>Descriere risc</t>
        </is>
      </c>
      <c r="E4" s="1" t="inlineStr">
        <is>
          <t>Note / Livrabile</t>
        </is>
      </c>
    </row>
    <row r="5">
      <c r="A5" s="10" t="inlineStr">
        <is>
          <t>1. Analiza cerinte + standard HL7 version assessment</t>
        </is>
      </c>
      <c r="B5" s="13" t="n">
        <v>15</v>
      </c>
      <c r="C5" s="14" t="n">
        <v>0.25</v>
      </c>
      <c r="D5" s="10" t="inlineStr">
        <is>
          <t>Investigare LIMS-uri la cele 3 institute (IDSA, IISPV, ICBMV); v2.5.1, v2.8 sau FHIR R4? Versiunea greșita = rework masiv</t>
        </is>
      </c>
      <c r="E5" s="10" t="inlineStr">
        <is>
          <t>Raport assessment LIMS; recomandare versiune; lista mesaje suportate</t>
        </is>
      </c>
    </row>
    <row r="6">
      <c r="A6" s="10" t="inlineStr">
        <is>
          <t>2. Mapping mesaje HL7 specific veterinary</t>
        </is>
      </c>
      <c r="B6" s="13" t="n">
        <v>22</v>
      </c>
      <c r="C6" s="14" t="n">
        <v>0.3</v>
      </c>
      <c r="D6" s="10" t="inlineStr">
        <is>
          <t>HL7 standardizat pt. medical uman; veterinary mai putin standardizat - segmente custom</t>
        </is>
      </c>
      <c r="E6" s="10" t="inlineStr">
        <is>
          <t>Mapping ADT, ORM, ORU, MDM pt. veterinar; segmente custom</t>
        </is>
      </c>
    </row>
    <row r="7">
      <c r="A7" s="10" t="inlineStr">
        <is>
          <t>3. Proiectare arhitectura gateway HA + persistenta mesaje</t>
        </is>
      </c>
      <c r="B7" s="13" t="n">
        <v>12</v>
      </c>
      <c r="C7" s="14" t="n">
        <v>0.1</v>
      </c>
      <c r="D7" s="10" t="inlineStr">
        <is>
          <t>Cluster activ-pasiv; idempotency; DLQ; design pt. audit GDPR sanitar</t>
        </is>
      </c>
      <c r="E7" s="10" t="inlineStr">
        <is>
          <t>ADR-uri; sequence diagrams; HA topology; storage schema mesaje</t>
        </is>
      </c>
    </row>
    <row r="8">
      <c r="A8" s="10" t="inlineStr">
        <is>
          <t>4. Selectie produs gateway + setup</t>
        </is>
      </c>
      <c r="B8" s="13" t="n">
        <v>10</v>
      </c>
      <c r="C8" s="14" t="n">
        <v>0.15</v>
      </c>
      <c r="D8" s="10" t="inlineStr">
        <is>
          <t>Mirth Connect vs Iguana (~30k EUR/an) vs InterSystems (~50k EUR); decizie strategica TCO</t>
        </is>
      </c>
      <c r="E8" s="10" t="inlineStr">
        <is>
          <t>Vendor evaluation; PoC Mirth; decision doc</t>
        </is>
      </c>
    </row>
    <row r="9">
      <c r="A9" s="10" t="inlineStr">
        <is>
          <t>5. Setup produs gateway + configurare canale baseline</t>
        </is>
      </c>
      <c r="B9" s="13" t="n">
        <v>14</v>
      </c>
      <c r="C9" s="14" t="n">
        <v>0.15</v>
      </c>
      <c r="D9" s="10" t="inlineStr">
        <is>
          <t>Mirth cluster; configurare per LIMS / institut; certificate; data sources</t>
        </is>
      </c>
      <c r="E9" s="10" t="inlineStr">
        <is>
          <t>Mirth productie + dev; canale baseline; conexiuni LIMS-uri test</t>
        </is>
      </c>
    </row>
    <row r="10">
      <c r="A10" s="10" t="inlineStr">
        <is>
          <t>6. Dezvoltare transformatori SQL -&gt; HL7 outbound</t>
        </is>
      </c>
      <c r="B10" s="13" t="n">
        <v>30</v>
      </c>
      <c r="C10" s="14" t="n">
        <v>0.25</v>
      </c>
      <c r="D10" s="10" t="inlineStr">
        <is>
          <t>Transformatori JS in Mirth; 4-5 tipuri mesaje; diacritice RO encoding; validare segmente PID/PV1/OBR/OBX</t>
        </is>
      </c>
      <c r="E10" s="10" t="inlineStr">
        <is>
          <t>Channels ADT/ORM/ORU/MDM/ACK; tests unit</t>
        </is>
      </c>
    </row>
    <row r="11">
      <c r="A11" s="10" t="inlineStr">
        <is>
          <t>7. Dezvoltare transformatori HL7 -&gt; SQL inbound</t>
        </is>
      </c>
      <c r="B11" s="13" t="n">
        <v>25</v>
      </c>
      <c r="C11" s="14" t="n">
        <v>0.25</v>
      </c>
      <c r="D11" s="10" t="inlineStr">
        <is>
          <t>Parse mesaje inbound; validare; error handling malformed; mapping in BD ANSVSA</t>
        </is>
      </c>
      <c r="E11" s="10" t="inlineStr">
        <is>
          <t>Parsere segmente; validators; storage in BD relationala</t>
        </is>
      </c>
    </row>
    <row r="12">
      <c r="A12" s="10" t="inlineStr">
        <is>
          <t>8. Implementare queue + retry + DLQ + idempotency</t>
        </is>
      </c>
      <c r="B12" s="13" t="n">
        <v>18</v>
      </c>
      <c r="C12" s="14" t="n">
        <v>0.2</v>
      </c>
      <c r="D12" s="10" t="inlineStr">
        <is>
          <t>CdS: stocare mesaje cu status (sent/received/failed/pending); idempotency keys; retry exp backoff</t>
        </is>
      </c>
      <c r="E12" s="10" t="inlineStr">
        <is>
          <t>Tabela mesaje BD; cron retry; DLQ; alerting</t>
        </is>
      </c>
    </row>
    <row r="13">
      <c r="A13" s="10" t="inlineStr">
        <is>
          <t>9. Audit logging (GDPR sanitar)</t>
        </is>
      </c>
      <c r="B13" s="13" t="n">
        <v>14</v>
      </c>
      <c r="C13" s="14" t="n">
        <v>0.15</v>
      </c>
      <c r="D13" s="10" t="inlineStr">
        <is>
          <t>Audit complet acces date medicale animal; retention 7 ani; anonimizare; integrare SIEM</t>
        </is>
      </c>
      <c r="E13" s="10" t="inlineStr">
        <is>
          <t>Audit log schema; retention policy; SIEM forwarder</t>
        </is>
      </c>
    </row>
    <row r="14">
      <c r="A14" s="10" t="inlineStr">
        <is>
          <t>10. Backup + restore mesaje</t>
        </is>
      </c>
      <c r="B14" s="13" t="n">
        <v>8</v>
      </c>
      <c r="C14" s="14" t="n">
        <v>0.1</v>
      </c>
      <c r="D14" s="10" t="inlineStr">
        <is>
          <t>Cerinta CdS line 1674; daily backup + Mirth config; restore drill saptamanal</t>
        </is>
      </c>
      <c r="E14" s="10" t="inlineStr">
        <is>
          <t>Backup script automat; restore runbook; drill log</t>
        </is>
      </c>
    </row>
    <row r="15">
      <c r="A15" s="10" t="inlineStr">
        <is>
          <t>11. Integrare API REST in fata (pt. app mobila + portal)</t>
        </is>
      </c>
      <c r="B15" s="13" t="n">
        <v>22</v>
      </c>
      <c r="C15" s="14" t="n">
        <v>0.2</v>
      </c>
      <c r="D15" s="10" t="inlineStr">
        <is>
          <t>REST endpoints: POST /lab-orders, GET /lab-results; JWT auth; OpenAPI; rate limiting</t>
        </is>
      </c>
      <c r="E15" s="10" t="inlineStr">
        <is>
          <t>OpenAPI spec; REST controller; JWT; rate limiter</t>
        </is>
      </c>
    </row>
    <row r="16">
      <c r="A16" s="10" t="inlineStr">
        <is>
          <t>12. Integrare cu Sistem responsive (3.4.3.3.3.1)</t>
        </is>
      </c>
      <c r="B16" s="13" t="n">
        <v>14</v>
      </c>
      <c r="C16" s="14" t="n">
        <v>0.15</v>
      </c>
      <c r="D16" s="10" t="inlineStr">
        <is>
          <t>Joint design API; shared schema cereri; flow orchestrat</t>
        </is>
      </c>
      <c r="E16" s="10" t="inlineStr">
        <is>
          <t>Common API contract; integration tests</t>
        </is>
      </c>
    </row>
    <row r="17">
      <c r="A17" s="10" t="inlineStr">
        <is>
          <t>13. Securizare TLS mutual + MLLP over TLS</t>
        </is>
      </c>
      <c r="B17" s="13" t="n">
        <v>18</v>
      </c>
      <c r="C17" s="14" t="n">
        <v>0.25</v>
      </c>
      <c r="D17" s="10" t="inlineStr">
        <is>
          <t>MLLP putine produse RO suporta nativ; mTLS; cert lifecycle 1-2 ani rotation; risc LIMS legacy TLS 1.0/1.1</t>
        </is>
      </c>
      <c r="E17" s="10" t="inlineStr">
        <is>
          <t>mTLS config; MLLP framing; cert rotation runbook</t>
        </is>
      </c>
    </row>
    <row r="18">
      <c r="A18" s="10" t="inlineStr">
        <is>
          <t>14. Monitorizare + dashboard (Grafana + Prometheus)</t>
        </is>
      </c>
      <c r="B18" s="13" t="n">
        <v>10</v>
      </c>
      <c r="C18" s="14" t="n">
        <v>0.1</v>
      </c>
      <c r="D18" s="10" t="inlineStr">
        <is>
          <t>Metrics queue depth, msg/sec, error rate, latency p95/p99</t>
        </is>
      </c>
      <c r="E18" s="10" t="inlineStr">
        <is>
          <t>Dashboard Grafana; alerte Prometheus; runbook on-call</t>
        </is>
      </c>
    </row>
    <row r="19">
      <c r="A19" s="10" t="inlineStr">
        <is>
          <t>15. Testare unit + integration cu HAPI HL7 simulator</t>
        </is>
      </c>
      <c r="B19" s="13" t="n">
        <v>28</v>
      </c>
      <c r="C19" s="14" t="n">
        <v>0.15</v>
      </c>
      <c r="D19" s="10" t="inlineStr">
        <is>
          <t>Sintetic message generation; mock LIMS; edge cases (malformed, encoding, large messages)</t>
        </is>
      </c>
      <c r="E19" s="10" t="inlineStr">
        <is>
          <t>Test suite JUnit; HAPI simulator; mock LIMS; coverage &gt; 80%</t>
        </is>
      </c>
    </row>
    <row r="20">
      <c r="A20" s="10" t="inlineStr">
        <is>
          <t>16. Testare conformitate HL7 (HAPI Conformance / Caristix)</t>
        </is>
      </c>
      <c r="B20" s="13" t="n">
        <v>18</v>
      </c>
      <c r="C20" s="14" t="n">
        <v>0.2</v>
      </c>
      <c r="D20" s="10" t="inlineStr">
        <is>
          <t>Profile compliance: mandatory fields, value sets, code systems</t>
        </is>
      </c>
      <c r="E20" s="10" t="inlineStr">
        <is>
          <t>Conformance profile; raport conformitate; remediere</t>
        </is>
      </c>
    </row>
    <row r="21">
      <c r="A21" s="10" t="inlineStr">
        <is>
          <t>17. Testare interoperabilitate cu LIMS REAL (3 institute)</t>
        </is>
      </c>
      <c r="B21" s="13" t="n">
        <v>45</v>
      </c>
      <c r="C21" s="14" t="n">
        <v>0.45</v>
      </c>
      <c r="D21" s="10" t="inlineStr">
        <is>
          <t>CEL MAI MARE RISC: necunoscute LIMS la IDSA/IISPV/ICBMV; versiune HL7, dialect, custom segments; 3 cicluri joint test separate; depinde de cooperarea institutiilor</t>
        </is>
      </c>
      <c r="E21" s="10" t="inlineStr">
        <is>
          <t>Joint testing 3 institute; calibrare; defect fix; sign-off per institut</t>
        </is>
      </c>
    </row>
    <row r="22">
      <c r="A22" s="10" t="inlineStr">
        <is>
          <t>18. Performance testing</t>
        </is>
      </c>
      <c r="B22" s="13" t="n">
        <v>12</v>
      </c>
      <c r="C22" s="14" t="n">
        <v>0.15</v>
      </c>
      <c r="D22" s="10" t="inlineStr">
        <is>
          <t>Target 1000+ msg/sec; JMeter/Gatling; saturatie queue; recovery dupa failure</t>
        </is>
      </c>
      <c r="E22" s="10" t="inlineStr">
        <is>
          <t>Load test report; perf baseline; tuning</t>
        </is>
      </c>
    </row>
    <row r="23">
      <c r="A23" s="10" t="inlineStr">
        <is>
          <t>19. Documentatie tehnica administratori</t>
        </is>
      </c>
      <c r="B23" s="13" t="n">
        <v>12</v>
      </c>
      <c r="C23" s="14" t="n">
        <v>0.05</v>
      </c>
      <c r="D23" s="10" t="inlineStr">
        <is>
          <t>Admin guide configurare canale Mirth; troubleshooting matrix</t>
        </is>
      </c>
      <c r="E23" s="10" t="inlineStr">
        <is>
          <t>Admin guide; runbook; troubleshooting matrix</t>
        </is>
      </c>
    </row>
    <row r="24">
      <c r="A24" s="10" t="inlineStr">
        <is>
          <t>20. Documentatie conformitate + lista mesaje suportate</t>
        </is>
      </c>
      <c r="B24" s="13" t="n">
        <v>8</v>
      </c>
      <c r="C24" s="14" t="n">
        <v>0.05</v>
      </c>
      <c r="D24" s="10" t="inlineStr">
        <is>
          <t>Spec compliance pt. evaluare oferta; tabel mesaje cu mapping CdS</t>
        </is>
      </c>
      <c r="E24" s="10" t="inlineStr">
        <is>
          <t>Spec compliance doc; tabel mesaje; trace matrix</t>
        </is>
      </c>
    </row>
    <row r="25">
      <c r="A25" s="10" t="inlineStr">
        <is>
          <t>21. UAT cu beneficiar (lab + IT + medici vet)</t>
        </is>
      </c>
      <c r="B25" s="13" t="n">
        <v>22</v>
      </c>
      <c r="C25" s="14" t="n">
        <v>0.25</v>
      </c>
      <c r="D25" s="10" t="inlineStr">
        <is>
          <t>Mesajele HL7 nu se valideaza vizual usor; necesar suport tehnic permanent in UAT</t>
        </is>
      </c>
      <c r="E25" s="10" t="inlineStr">
        <is>
          <t>UAT plan; defect log; remediere; sign-off</t>
        </is>
      </c>
    </row>
    <row r="26">
      <c r="A26" s="10" t="inlineStr">
        <is>
          <t>22. Pre-productie + go-live (paralel-run 4 sapt)</t>
        </is>
      </c>
      <c r="B26" s="13" t="n">
        <v>18</v>
      </c>
      <c r="C26" s="14" t="n">
        <v>0.25</v>
      </c>
      <c r="D26" s="10" t="inlineStr">
        <is>
          <t>Paralel-run 4 saptamani cu sistem vechi; reconciliere zilnica; cutover validat</t>
        </is>
      </c>
      <c r="E26" s="10" t="inlineStr">
        <is>
          <t>Production deploy; paralel-run; reconciliation; cutover; rollback</t>
        </is>
      </c>
    </row>
    <row r="27">
      <c r="A27" s="10" t="inlineStr">
        <is>
          <t>23. Hyper-care 4 saptamani post go-live</t>
        </is>
      </c>
      <c r="B27" s="13" t="n">
        <v>14</v>
      </c>
      <c r="C27" s="14" t="n">
        <v>0.15</v>
      </c>
      <c r="D27" s="10" t="inlineStr">
        <is>
          <t>On-call 24/7 prima sapt, 12/5 sapt 2-4; war room daily prima sapt</t>
        </is>
      </c>
      <c r="E27" s="10" t="inlineStr">
        <is>
          <t>On-call schedule; war room minutes; incident log</t>
        </is>
      </c>
    </row>
    <row r="28">
      <c r="A28" s="15" t="inlineStr">
        <is>
          <t>SUBTOTAL implementare initiala</t>
        </is>
      </c>
      <c r="B28" s="16">
        <f>SUM(B5:B27)</f>
        <v/>
      </c>
      <c r="C28" s="17">
        <f>SUMPRODUCT(B5:B27,C5:C27)/SUM(B5:B27)</f>
        <v/>
      </c>
      <c r="D28" s="15" t="inlineStr">
        <is>
          <t>Risc mediu ponderat pe man-days</t>
        </is>
      </c>
      <c r="E28" s="15" t="inlineStr"/>
    </row>
    <row r="29">
      <c r="A29" s="18" t="inlineStr">
        <is>
          <t>Buffer contingency (20% - recomandat pt. proiect gov IT)</t>
        </is>
      </c>
      <c r="B29" s="19">
        <f>ROUND(B28*0.20,0)</f>
        <v/>
      </c>
      <c r="C29" s="18" t="n"/>
      <c r="D29" s="18" t="n"/>
      <c r="E29" s="18" t="inlineStr">
        <is>
          <t>Industry standard pentru proiecte gov</t>
        </is>
      </c>
    </row>
    <row r="30">
      <c r="A30" s="20" t="inlineStr">
        <is>
          <t>TOTAL IMPLEMENTARE INITIALA + BUFFER</t>
        </is>
      </c>
      <c r="B30" s="20">
        <f>B28+B29</f>
        <v/>
      </c>
      <c r="C30" s="20" t="n"/>
      <c r="D30" s="20" t="n"/>
      <c r="E30" s="20" t="n"/>
    </row>
    <row r="32">
      <c r="A32" s="21" t="inlineStr">
        <is>
          <t>MENTENANTA + SUPORT (3 ani conform CdS)</t>
        </is>
      </c>
      <c r="B32" s="22" t="n"/>
      <c r="C32" s="22" t="n"/>
      <c r="D32" s="22" t="n"/>
      <c r="E32" s="23" t="n"/>
    </row>
    <row r="33">
      <c r="A33" s="1" t="inlineStr">
        <is>
          <t>Faza</t>
        </is>
      </c>
      <c r="B33" s="1" t="inlineStr">
        <is>
          <t>Estimat man-day</t>
        </is>
      </c>
      <c r="C33" s="1" t="inlineStr">
        <is>
          <t>Risk %</t>
        </is>
      </c>
      <c r="D33" s="1" t="inlineStr">
        <is>
          <t>Descriere risc</t>
        </is>
      </c>
      <c r="E33" s="1" t="inlineStr">
        <is>
          <t>Note / Livrabile</t>
        </is>
      </c>
    </row>
    <row r="34">
      <c r="A34" s="10" t="inlineStr">
        <is>
          <t>Mentenanta + suport L2+L3 (per AN; 3 ani conform CdS)</t>
        </is>
      </c>
      <c r="B34" s="13" t="n">
        <v>200</v>
      </c>
      <c r="C34" s="14" t="n">
        <v>0.2</v>
      </c>
      <c r="D34" s="10" t="inlineStr">
        <is>
          <t>HL7 v2 stabil dar update-uri LIMS impun adaptari schema; SLA L2+L3 obligatoriu pt. integrare critica (downtime impacteaza activitatea celor 3 institute); CVE-uri Mirth/Java/OS necesita patching prompt; certificate mTLS rotation 1-2 ani; integrari cu LIMS-uri terte se schimba periodic</t>
        </is>
      </c>
      <c r="E34" s="10" t="inlineStr">
        <is>
          <t>BREAKDOWN ESTIMAT/AN: ~60z corrective (bug fixes mesaje failed, schema drift) + ~50z adaptive (update versiuni LIMS terte, rotation certificate, patch security) + ~40z perfective (mici imbunatatiri canale, monitoring) + ~50z on-call SLA L2+L3 (rezervare 24/7 critical integration). Echivaleaza ~1.0 FTE alocat. NU include integrari noi cu LIMS-uri suplimentare.</t>
        </is>
      </c>
    </row>
    <row r="35">
      <c r="A35" s="24" t="inlineStr">
        <is>
          <t>TOTAL MENTENANTA 3 ani (cumulativ)</t>
        </is>
      </c>
      <c r="B35" s="24">
        <f>B34*3</f>
        <v/>
      </c>
      <c r="C35" s="24" t="n"/>
      <c r="D35" s="24" t="n"/>
      <c r="E35" s="24" t="inlineStr">
        <is>
          <t>Conform CdS - garantie + suport L2+L3 pe 3 ani</t>
        </is>
      </c>
    </row>
  </sheetData>
  <mergeCells count="3">
    <mergeCell ref="A2:E2"/>
    <mergeCell ref="A1:E1"/>
    <mergeCell ref="A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" customWidth="1" min="3" max="3"/>
    <col width="58" customWidth="1" min="4" max="4"/>
    <col width="58" customWidth="1" min="5" max="5"/>
  </cols>
  <sheetData>
    <row r="1">
      <c r="A1" s="11" t="inlineStr">
        <is>
          <t>Estimare efort - Portal Servicii Publice (3.4.3.3.2, pg.83-86 CdS) - VERSIUNE REALISTA</t>
        </is>
      </c>
    </row>
    <row r="2" ht="50" customHeight="1">
      <c r="A2" s="12" t="inlineStr">
        <is>
          <t>Scope: Portal multi-stakeholder (cetateni + firme + medici vet) cu 56 servicii electronice publice; 185.000 utilizatori/an; 46 institutii; auth ROeID; 8 integrari externe; BPM workflow; PWA; A11y WCAG 2.1 AA; OWASP Top 10; performance 1000 conc users; 3 ani garantie.</t>
        </is>
      </c>
    </row>
    <row r="4" ht="28" customHeight="1">
      <c r="A4" s="1" t="inlineStr">
        <is>
          <t>Faza</t>
        </is>
      </c>
      <c r="B4" s="1" t="inlineStr">
        <is>
          <t>Estimat man-day</t>
        </is>
      </c>
      <c r="C4" s="1" t="inlineStr">
        <is>
          <t>Risk %</t>
        </is>
      </c>
      <c r="D4" s="1" t="inlineStr">
        <is>
          <t>Descriere risc</t>
        </is>
      </c>
      <c r="E4" s="1" t="inlineStr">
        <is>
          <t>Note / Livrabile</t>
        </is>
      </c>
    </row>
    <row r="5">
      <c r="A5" s="10" t="inlineStr">
        <is>
          <t>1. Analiza cerinte business + 46 institutii stakeholderi</t>
        </is>
      </c>
      <c r="B5" s="13" t="n">
        <v>60</v>
      </c>
      <c r="C5" s="14" t="n">
        <v>0.2</v>
      </c>
      <c r="D5" s="10" t="inlineStr">
        <is>
          <t>46 institutii; 3 tipuri utilizatori; 56 servicii electronice; min. 15-20 workshop-uri</t>
        </is>
      </c>
      <c r="E5" s="10" t="inlineStr">
        <is>
          <t>User stories; persona-uri; service catalog; backlog prioritizat; governance</t>
        </is>
      </c>
    </row>
    <row r="6">
      <c r="A6" s="10" t="inlineStr">
        <is>
          <t>2. UX research + persona + journey mapping</t>
        </is>
      </c>
      <c r="B6" s="13" t="n">
        <v>45</v>
      </c>
      <c r="C6" s="14" t="n">
        <v>0.15</v>
      </c>
      <c r="D6" s="10" t="inlineStr">
        <is>
          <t>Persona-uri: cetatean novice/expert; firma mica/mare; medic vet liber/angajat; 56 services × 3-4 journey states</t>
        </is>
      </c>
      <c r="E6" s="10" t="inlineStr">
        <is>
          <t>Personas; journey maps; service blueprints; pain points heatmap</t>
        </is>
      </c>
    </row>
    <row r="7">
      <c r="A7" s="10" t="inlineStr">
        <is>
          <t>3. Information architecture + sitemap + taxonomie 56 servicii</t>
        </is>
      </c>
      <c r="B7" s="13" t="n">
        <v>32</v>
      </c>
      <c r="C7" s="14" t="n">
        <v>0.15</v>
      </c>
      <c r="D7" s="10" t="inlineStr">
        <is>
          <t>Taxonomie pe tip user; search + filters faceted; cross-references intre servicii</t>
        </is>
      </c>
      <c r="E7" s="10" t="inlineStr">
        <is>
          <t>Sitemap; taxonomie; navigation tree; search index spec</t>
        </is>
      </c>
    </row>
    <row r="8">
      <c r="A8" s="10" t="inlineStr">
        <is>
          <t>4. UI design system + brand ANSVSA + componente atomice</t>
        </is>
      </c>
      <c r="B8" s="13" t="n">
        <v>52</v>
      </c>
      <c r="C8" s="14" t="n">
        <v>0.15</v>
      </c>
      <c r="D8" s="10" t="inlineStr">
        <is>
          <t>Atomic design; 100+ componente; design tokens; tema light+dark; responsive 4 breakpoints</t>
        </is>
      </c>
      <c r="E8" s="10" t="inlineStr">
        <is>
          <t>Figma design system; design tokens; Storybook plan; component library</t>
        </is>
      </c>
    </row>
    <row r="9">
      <c r="A9" s="10" t="inlineStr">
        <is>
          <t>5. Wireframes Lo-Fi 56 servicii × ~3-4 ecrane fiecare (~200 ecrane)</t>
        </is>
      </c>
      <c r="B9" s="13" t="n">
        <v>80</v>
      </c>
      <c r="C9" s="14" t="n">
        <v>0.2</v>
      </c>
      <c r="D9" s="10" t="inlineStr">
        <is>
          <t>Conservativ ~3-4 ecrane per serviciu mediu; flow start -&gt; intermediate -&gt; review -&gt; confirm</t>
        </is>
      </c>
      <c r="E9" s="10" t="inlineStr">
        <is>
          <t>Wireframes; arborescente flow; arhitectura formulare</t>
        </is>
      </c>
    </row>
    <row r="10">
      <c r="A10" s="10" t="inlineStr">
        <is>
          <t>6. Hi-Fi mockups responsive (desktop + tablet + mobile)</t>
        </is>
      </c>
      <c r="B10" s="13" t="n">
        <v>75</v>
      </c>
      <c r="C10" s="14" t="n">
        <v>0.15</v>
      </c>
      <c r="D10" s="10" t="inlineStr">
        <is>
          <t>200 ecrane × 3 variante responsive = 600 frame-uri Figma; prototype clickable</t>
        </is>
      </c>
      <c r="E10" s="10" t="inlineStr">
        <is>
          <t>Hi-Fi Figma; prototype; assets export</t>
        </is>
      </c>
    </row>
    <row r="11">
      <c r="A11" s="10" t="inlineStr">
        <is>
          <t>7. Accesibilitate WCAG 2.1 AA design review + remediere</t>
        </is>
      </c>
      <c r="B11" s="13" t="n">
        <v>25</v>
      </c>
      <c r="C11" s="14" t="n">
        <v>0.15</v>
      </c>
      <c r="D11" s="10" t="inlineStr">
        <is>
          <t>Audit a11y pe design; remediere; min. AA mandator pt. gov (legea 156/2020 RO)</t>
        </is>
      </c>
      <c r="E11" s="10" t="inlineStr">
        <is>
          <t>Raport audit a11y; design corectat; checklist</t>
        </is>
      </c>
    </row>
    <row r="12">
      <c r="A12" s="10" t="inlineStr">
        <is>
          <t>8. Arhitectura tehnica + ADR + setup proiect</t>
        </is>
      </c>
      <c r="B12" s="13" t="n">
        <v>35</v>
      </c>
      <c r="C12" s="14" t="n">
        <v>0.1</v>
      </c>
      <c r="D12" s="10" t="inlineStr">
        <is>
          <t>Microservices vs monolith; headless CMS vs custom; K8s vs VM; observability stack</t>
        </is>
      </c>
      <c r="E12" s="10" t="inlineStr">
        <is>
          <t>ADR-uri; HLD; setup repo monorepo; CI/CD pipeline</t>
        </is>
      </c>
    </row>
    <row r="13">
      <c r="A13" s="10" t="inlineStr">
        <is>
          <t>9. Frontend - shell + navigation + routing + state mgmt</t>
        </is>
      </c>
      <c r="B13" s="13" t="n">
        <v>40</v>
      </c>
      <c r="C13" s="14" t="n">
        <v>0.15</v>
      </c>
      <c r="D13" s="10" t="inlineStr">
        <is>
          <t>SPA shell; lazy loading per route; Redux/Pinia; SSR opt. pt. SEO</t>
        </is>
      </c>
      <c r="E13" s="10" t="inlineStr">
        <is>
          <t>Shell app; routing; auth gate; loading states</t>
        </is>
      </c>
    </row>
    <row r="14">
      <c r="A14" s="10" t="inlineStr">
        <is>
          <t>10. Frontend - design system implementation (Storybook)</t>
        </is>
      </c>
      <c r="B14" s="13" t="n">
        <v>50</v>
      </c>
      <c r="C14" s="14" t="n">
        <v>0.15</v>
      </c>
      <c r="D14" s="10" t="inlineStr">
        <is>
          <t>Component library cu Storybook; 100+ componente; theming; a11y testing per component</t>
        </is>
      </c>
      <c r="E14" s="10" t="inlineStr">
        <is>
          <t>Storybook deployable; Chromatic visual regression; coverage &gt; 70%</t>
        </is>
      </c>
    </row>
    <row r="15">
      <c r="A15" s="10" t="inlineStr">
        <is>
          <t>11. Frontend - homepage + service catalog + search + filters</t>
        </is>
      </c>
      <c r="B15" s="13" t="n">
        <v>45</v>
      </c>
      <c r="C15" s="14" t="n">
        <v>0.15</v>
      </c>
      <c r="D15" s="10" t="inlineStr">
        <is>
          <t>Homepage hero/news/quick links; catalog 56 servicii; search Elasticsearch frontend; faceted filters</t>
        </is>
      </c>
      <c r="E15" s="10" t="inlineStr">
        <is>
          <t>Homepage; catalog; search UI; filter chips</t>
        </is>
      </c>
    </row>
    <row r="16">
      <c r="A16" s="10" t="inlineStr">
        <is>
          <t>12. Frontend - 56 servicii formulare + flow (~4 zile/serviciu)</t>
        </is>
      </c>
      <c r="B16" s="13" t="n">
        <v>224</v>
      </c>
      <c r="C16" s="14" t="n">
        <v>0.25</v>
      </c>
      <c r="D16" s="10" t="inlineStr">
        <is>
          <t>56 servicii × 4 zile FE (medie; unele 2 zile, altele 8 zile); validare dinamica; auto-save draft; upload doc</t>
        </is>
      </c>
      <c r="E16" s="10" t="inlineStr">
        <is>
          <t>56 formulare; validare; draft auto-save; sumar review</t>
        </is>
      </c>
    </row>
    <row r="17">
      <c r="A17" s="10" t="inlineStr">
        <is>
          <t>13. Frontend - dashboard utilizator + istoric cereri + notificari</t>
        </is>
      </c>
      <c r="B17" s="13" t="n">
        <v>45</v>
      </c>
      <c r="C17" s="14" t="n">
        <v>0.15</v>
      </c>
      <c r="D17" s="10" t="inlineStr">
        <is>
          <t>Personal area; istoric cereri 56 servicii; notification center; setari profil</t>
        </is>
      </c>
      <c r="E17" s="10" t="inlineStr">
        <is>
          <t>Dashboard; istoric; notificari; profil</t>
        </is>
      </c>
    </row>
    <row r="18">
      <c r="A18" s="10" t="inlineStr">
        <is>
          <t>14. Frontend - CMS editorial content (news, FAQ, ghiduri)</t>
        </is>
      </c>
      <c r="B18" s="13" t="n">
        <v>35</v>
      </c>
      <c r="C18" s="14" t="n">
        <v>0.1</v>
      </c>
      <c r="D18" s="10" t="inlineStr">
        <is>
          <t>CMS continut editorial: news, FAQ, ghiduri PDF, regulamente; full-text search</t>
        </is>
      </c>
      <c r="E18" s="10" t="inlineStr">
        <is>
          <t>CMS frontend; pagini categorii; PDF embed</t>
        </is>
      </c>
    </row>
    <row r="19">
      <c r="A19" s="10" t="inlineStr">
        <is>
          <t>15. Frontend - PWA features (offline read, push, install)</t>
        </is>
      </c>
      <c r="B19" s="13" t="n">
        <v>25</v>
      </c>
      <c r="C19" s="14" t="n">
        <v>0.15</v>
      </c>
      <c r="D19" s="10" t="inlineStr">
        <is>
          <t>Service workers; offline cache critical; push web; install prompt; Lighthouse &gt; 90</t>
        </is>
      </c>
      <c r="E19" s="10" t="inlineStr">
        <is>
          <t>PWA installabila; manifest; offline-first; push web</t>
        </is>
      </c>
    </row>
    <row r="20">
      <c r="A20" s="10" t="inlineStr">
        <is>
          <t>16. Backend - API gateway + microservices boundaries</t>
        </is>
      </c>
      <c r="B20" s="13" t="n">
        <v>40</v>
      </c>
      <c r="C20" s="14" t="n">
        <v>0.15</v>
      </c>
      <c r="D20" s="10" t="inlineStr">
        <is>
          <t>API gateway (Kong/Krakend); decompozitie microservicii; GraphQL gateway opt.; rate limiting</t>
        </is>
      </c>
      <c r="E20" s="10" t="inlineStr">
        <is>
          <t>API gateway config; service boundaries; GraphQL gateway</t>
        </is>
      </c>
    </row>
    <row r="21">
      <c r="A21" s="10" t="inlineStr">
        <is>
          <t>17. Backend - authentication + autorizare + ROeID</t>
        </is>
      </c>
      <c r="B21" s="13" t="n">
        <v>50</v>
      </c>
      <c r="C21" s="14" t="n">
        <v>0.3</v>
      </c>
      <c r="D21" s="10" t="inlineStr">
        <is>
          <t>ROeID = cea mai mare incertitudine; SSO; OAuth2/OIDC; MFA; RBAC+ABAC; session mgmt</t>
        </is>
      </c>
      <c r="E21" s="10" t="inlineStr">
        <is>
          <t>Auth service; ROeID adapter; RBAC matrix; session mgmt</t>
        </is>
      </c>
    </row>
    <row r="22">
      <c r="A22" s="10" t="inlineStr">
        <is>
          <t>18. Backend - 56 servicii business logic (~6 zile/serviciu)</t>
        </is>
      </c>
      <c r="B22" s="13" t="n">
        <v>336</v>
      </c>
      <c r="C22" s="14" t="n">
        <v>0.25</v>
      </c>
      <c r="D22" s="10" t="inlineStr">
        <is>
          <t>56 servicii × 6 zile BE medie; validari, persistence, integrari, generare documente</t>
        </is>
      </c>
      <c r="E22" s="10" t="inlineStr">
        <is>
          <t>56 servicii functionale; tests; OpenAPI spec; DTO-uri</t>
        </is>
      </c>
    </row>
    <row r="23">
      <c r="A23" s="10" t="inlineStr">
        <is>
          <t>19. Backend - workflow engine BPM pt. flow-uri lungi</t>
        </is>
      </c>
      <c r="B23" s="13" t="n">
        <v>60</v>
      </c>
      <c r="C23" s="14" t="n">
        <v>0.2</v>
      </c>
      <c r="D23" s="10" t="inlineStr">
        <is>
          <t>Autorizare 30-60 zile cu aprobari multi-nivel; BPMN visualizat; integrare workflow VOGO DMS</t>
        </is>
      </c>
      <c r="E23" s="10" t="inlineStr">
        <is>
          <t>BPM integration; workflows; aprobari multi-nivel; escalare</t>
        </is>
      </c>
    </row>
    <row r="24">
      <c r="A24" s="10" t="inlineStr">
        <is>
          <t>20. Backend - storage attachments + AV scan + e-signature</t>
        </is>
      </c>
      <c r="B24" s="13" t="n">
        <v>28</v>
      </c>
      <c r="C24" s="14" t="n">
        <v>0.15</v>
      </c>
      <c r="D24" s="10" t="inlineStr">
        <is>
          <t>Upload MinIO/S3; AV scan ClamAV; semnare digitala qualified</t>
        </is>
      </c>
      <c r="E24" s="10" t="inlineStr">
        <is>
          <t>Storage service; AV scan; e-signature service</t>
        </is>
      </c>
    </row>
    <row r="25">
      <c r="A25" s="10" t="inlineStr">
        <is>
          <t>21. Backend - notificari multi-channel (email + SMS + push)</t>
        </is>
      </c>
      <c r="B25" s="13" t="n">
        <v>35</v>
      </c>
      <c r="C25" s="14" t="n">
        <v>0.15</v>
      </c>
      <c r="D25" s="10" t="inlineStr">
        <is>
          <t>Multi-channel notification; templating multi-language; opt-in/opt-out granular</t>
        </is>
      </c>
      <c r="E25" s="10" t="inlineStr">
        <is>
          <t>Notification service; templates RO+EN; preferinte UI</t>
        </is>
      </c>
    </row>
    <row r="26">
      <c r="A26" s="10" t="inlineStr">
        <is>
          <t>22. Backend - integrari externe (8 sisteme: ROeID, PNI, PCUe, ONRC, APIA, ANCPI, ANARZ, CMV)</t>
        </is>
      </c>
      <c r="B26" s="13" t="n">
        <v>140</v>
      </c>
      <c r="C26" s="14" t="n">
        <v>0.35</v>
      </c>
      <c r="D26" s="10" t="inlineStr">
        <is>
          <t>8 integrari × ~17.5 zile fiecare (medie); RISC RIDICAT: depinde de disponibilitate API parteneri si stabilitate documentatie</t>
        </is>
      </c>
      <c r="E26" s="10" t="inlineStr">
        <is>
          <t>8 adaptari API; circuit breakers; fallback; monitoring per integrare</t>
        </is>
      </c>
    </row>
    <row r="27">
      <c r="A27" s="10" t="inlineStr">
        <is>
          <t>23. Backend - audit logging + GDPR compliance</t>
        </is>
      </c>
      <c r="B27" s="13" t="n">
        <v>28</v>
      </c>
      <c r="C27" s="14" t="n">
        <v>0.15</v>
      </c>
      <c r="D27" s="10" t="inlineStr">
        <is>
          <t>Audit complet GDPR Art. 30; retention configurabil; anonimizare; endpoints Art. 15-22</t>
        </is>
      </c>
      <c r="E27" s="10" t="inlineStr">
        <is>
          <t>Audit service; retention policy; GDPR endpoints</t>
        </is>
      </c>
    </row>
    <row r="28">
      <c r="A28" s="10" t="inlineStr">
        <is>
          <t>24. Backend - reporting + analytics + contorizare servicii (3.4.2.13)</t>
        </is>
      </c>
      <c r="B28" s="13" t="n">
        <v>32</v>
      </c>
      <c r="C28" s="14" t="n">
        <v>0.1</v>
      </c>
      <c r="D28" s="10" t="inlineStr">
        <is>
          <t>Componenta CdS 3.4.2.13 = contorizare folosire servicii publice; dashboards KPI; integrare BI</t>
        </is>
      </c>
      <c r="E28" s="10" t="inlineStr">
        <is>
          <t>Reporting service; dashboards admin; export endpoints</t>
        </is>
      </c>
    </row>
    <row r="29">
      <c r="A29" s="10" t="inlineStr">
        <is>
          <t>25. Backend - admin console (servicii, content, useri, roluri)</t>
        </is>
      </c>
      <c r="B29" s="13" t="n">
        <v>45</v>
      </c>
      <c r="C29" s="14" t="n">
        <v>0.1</v>
      </c>
      <c r="D29" s="10" t="inlineStr">
        <is>
          <t>Self-service admin pt. servicii, content, useri, roluri; audit complet</t>
        </is>
      </c>
      <c r="E29" s="10" t="inlineStr">
        <is>
          <t>Admin console; permisiuni granulare</t>
        </is>
      </c>
    </row>
    <row r="30">
      <c r="A30" s="10" t="inlineStr">
        <is>
          <t>26. Securitate: WAF rules + pentest extern + remediere</t>
        </is>
      </c>
      <c r="B30" s="13" t="n">
        <v>50</v>
      </c>
      <c r="C30" s="14" t="n">
        <v>0.25</v>
      </c>
      <c r="D30" s="10" t="inlineStr">
        <is>
          <t>OWASP Top 10; IDOR, CSRF, SSRF; pentest extern min. 2 cicluri; remediere P1/P2 mandator</t>
        </is>
      </c>
      <c r="E30" s="10" t="inlineStr">
        <is>
          <t>Pentest report; remediere; WAF rules; security headers</t>
        </is>
      </c>
    </row>
    <row r="31">
      <c r="A31" s="10" t="inlineStr">
        <is>
          <t>27. Performance &amp; scalability (target 185k useri)</t>
        </is>
      </c>
      <c r="B31" s="13" t="n">
        <v>35</v>
      </c>
      <c r="C31" s="14" t="n">
        <v>0.2</v>
      </c>
      <c r="D31" s="10" t="inlineStr">
        <is>
          <t>Load test 1000 concurrent users sustinut; caching Redis; CDN; DB tuning</t>
        </is>
      </c>
      <c r="E31" s="10" t="inlineStr">
        <is>
          <t>Perf baseline; load test report; optimization</t>
        </is>
      </c>
    </row>
    <row r="32">
      <c r="A32" s="10" t="inlineStr">
        <is>
          <t>28. Testare unit FE + BE</t>
        </is>
      </c>
      <c r="B32" s="13" t="n">
        <v>70</v>
      </c>
      <c r="C32" s="14" t="n">
        <v>0.1</v>
      </c>
      <c r="D32" s="10" t="inlineStr">
        <is>
          <t>Coverage &gt; 70% target; Jest/Vitest FE; JUnit/pytest BE</t>
        </is>
      </c>
      <c r="E32" s="10" t="inlineStr">
        <is>
          <t>Coverage report; CI gate</t>
        </is>
      </c>
    </row>
    <row r="33">
      <c r="A33" s="10" t="inlineStr">
        <is>
          <t>29. Testare integration (per serviciu + integrari externe)</t>
        </is>
      </c>
      <c r="B33" s="13" t="n">
        <v>95</v>
      </c>
      <c r="C33" s="14" t="n">
        <v>0.15</v>
      </c>
      <c r="D33" s="10" t="inlineStr">
        <is>
          <t>56 servicii × test integration cu BE + cu 8 integrari externe; mocks pt. parteneri nedisponibili</t>
        </is>
      </c>
      <c r="E33" s="10" t="inlineStr">
        <is>
          <t>Test suite integration; mock servers; contract tests</t>
        </is>
      </c>
    </row>
    <row r="34">
      <c r="A34" s="10" t="inlineStr">
        <is>
          <t>30. Testare E2E (Cypress / Playwright)</t>
        </is>
      </c>
      <c r="B34" s="13" t="n">
        <v>50</v>
      </c>
      <c r="C34" s="14" t="n">
        <v>0.15</v>
      </c>
      <c r="D34" s="10" t="inlineStr">
        <is>
          <t>Critical journeys cross-browser; 56 servicii test minim happy path</t>
        </is>
      </c>
      <c r="E34" s="10" t="inlineStr">
        <is>
          <t>E2E suite; rulare CI; raport per build</t>
        </is>
      </c>
    </row>
    <row r="35">
      <c r="A35" s="10" t="inlineStr">
        <is>
          <t>31. Testare A11y (axe + manual screen reader)</t>
        </is>
      </c>
      <c r="B35" s="13" t="n">
        <v>22</v>
      </c>
      <c r="C35" s="14" t="n">
        <v>0.15</v>
      </c>
      <c r="D35" s="10" t="inlineStr">
        <is>
          <t>All key flows; axe automated + manual NVDA/JAWS/VoiceOver/TalkBack</t>
        </is>
      </c>
      <c r="E35" s="10" t="inlineStr">
        <is>
          <t>A11y compliance report; remediere</t>
        </is>
      </c>
    </row>
    <row r="36">
      <c r="A36" s="10" t="inlineStr">
        <is>
          <t>32. Testare conformitate matrice CdS (Anexa F)</t>
        </is>
      </c>
      <c r="B36" s="13" t="n">
        <v>25</v>
      </c>
      <c r="C36" s="14" t="n">
        <v>0.1</v>
      </c>
      <c r="D36" s="10" t="inlineStr">
        <is>
          <t>1294 cerinte de validat; trace matrix; demonstrabil per cerinta</t>
        </is>
      </c>
      <c r="E36" s="10" t="inlineStr">
        <is>
          <t>Test pe matrice; trace matrix; raport</t>
        </is>
      </c>
    </row>
    <row r="37">
      <c r="A37" s="10" t="inlineStr">
        <is>
          <t>33. Documentatie tehnica + API OpenAPI + dev guide</t>
        </is>
      </c>
      <c r="B37" s="13" t="n">
        <v>38</v>
      </c>
      <c r="C37" s="14" t="n">
        <v>0.05</v>
      </c>
      <c r="D37" s="10" t="inlineStr">
        <is>
          <t>OpenAPI 8 integrari externe + API public catre app mobila; dev guide parteneri</t>
        </is>
      </c>
      <c r="E37" s="10" t="inlineStr">
        <is>
          <t>OpenAPI 3.0; dev portal; postman collections</t>
        </is>
      </c>
    </row>
    <row r="38">
      <c r="A38" s="10" t="inlineStr">
        <is>
          <t>34. Documentatie utilizator final + video tutorials</t>
        </is>
      </c>
      <c r="B38" s="13" t="n">
        <v>35</v>
      </c>
      <c r="C38" s="14" t="n">
        <v>0.05</v>
      </c>
      <c r="D38" s="10" t="inlineStr">
        <is>
          <t>Manual RO+EN per persona; video tutorials top 20 servicii; in-app help contextual</t>
        </is>
      </c>
      <c r="E38" s="10" t="inlineStr">
        <is>
          <t>Manual PDF 100+ pag; 20 video tutorials; in-app help</t>
        </is>
      </c>
    </row>
    <row r="39">
      <c r="A39" s="10" t="inlineStr">
        <is>
          <t>35. UAT cu ANSVSA + DSVSA + cetateni + medici vet</t>
        </is>
      </c>
      <c r="B39" s="13" t="n">
        <v>70</v>
      </c>
      <c r="C39" s="14" t="n">
        <v>0.2</v>
      </c>
      <c r="D39" s="10" t="inlineStr">
        <is>
          <t>Multi-stakeholder UAT 4-6 saptamani; 3 cicluri; defect remediation iterativ</t>
        </is>
      </c>
      <c r="E39" s="10" t="inlineStr">
        <is>
          <t>UAT plan; defect log; remediere; sign-off matrix</t>
        </is>
      </c>
    </row>
    <row r="40">
      <c r="A40" s="10" t="inlineStr">
        <is>
          <t>36. Migrare continut existent (daca exista)</t>
        </is>
      </c>
      <c r="B40" s="13" t="n">
        <v>28</v>
      </c>
      <c r="C40" s="14" t="n">
        <v>0.3</v>
      </c>
      <c r="D40" s="10" t="inlineStr">
        <is>
          <t>Volume continut existent NECUNOSCUT; risc inalt daca CMS legacy; assessment in faza 1</t>
        </is>
      </c>
      <c r="E40" s="10" t="inlineStr">
        <is>
          <t>Migration plan; data cleansing; import scripts</t>
        </is>
      </c>
    </row>
    <row r="41">
      <c r="A41" s="10" t="inlineStr">
        <is>
          <t>37. Pre-production deploy + go-live (faze succesive)</t>
        </is>
      </c>
      <c r="B41" s="13" t="n">
        <v>45</v>
      </c>
      <c r="C41" s="14" t="n">
        <v>0.15</v>
      </c>
      <c r="D41" s="10" t="inlineStr">
        <is>
          <t>Go-live in 3 faze: 10-15 servicii core -&gt; 20-25 servicii -&gt; toate 56; reduce risc</t>
        </is>
      </c>
      <c r="E41" s="10" t="inlineStr">
        <is>
          <t>Deploy plan; phased release; rollback plan; comms</t>
        </is>
      </c>
    </row>
    <row r="42">
      <c r="A42" s="10" t="inlineStr">
        <is>
          <t>38. Operationalizare + handover suport L1/L2 + training admin</t>
        </is>
      </c>
      <c r="B42" s="13" t="n">
        <v>25</v>
      </c>
      <c r="C42" s="14" t="n">
        <v>0.1</v>
      </c>
      <c r="D42" s="10" t="inlineStr">
        <is>
          <t>Knowledge transfer ANSVSA admin; runbook-uri; SLA defined</t>
        </is>
      </c>
      <c r="E42" s="10" t="inlineStr">
        <is>
          <t>Runbook-uri; KT sessions; SLA matrix; sign-off operational</t>
        </is>
      </c>
    </row>
    <row r="43">
      <c r="A43" s="15" t="inlineStr">
        <is>
          <t>SUBTOTAL implementare initiala</t>
        </is>
      </c>
      <c r="B43" s="16">
        <f>SUM(B5:B42)</f>
        <v/>
      </c>
      <c r="C43" s="17">
        <f>SUMPRODUCT(B5:B42,C5:C42)/SUM(B5:B42)</f>
        <v/>
      </c>
      <c r="D43" s="15" t="inlineStr">
        <is>
          <t>Risc mediu ponderat pe man-days</t>
        </is>
      </c>
      <c r="E43" s="15" t="inlineStr"/>
    </row>
    <row r="44">
      <c r="A44" s="18" t="inlineStr">
        <is>
          <t>Buffer contingency (20% - recomandat pt. proiect gov IT)</t>
        </is>
      </c>
      <c r="B44" s="19">
        <f>ROUND(B43*0.20,0)</f>
        <v/>
      </c>
      <c r="C44" s="18" t="n"/>
      <c r="D44" s="18" t="n"/>
      <c r="E44" s="18" t="inlineStr">
        <is>
          <t>Industry standard pentru proiecte gov</t>
        </is>
      </c>
    </row>
    <row r="45">
      <c r="A45" s="20" t="inlineStr">
        <is>
          <t>TOTAL IMPLEMENTARE INITIALA + BUFFER</t>
        </is>
      </c>
      <c r="B45" s="20">
        <f>B43+B44</f>
        <v/>
      </c>
      <c r="C45" s="20" t="n"/>
      <c r="D45" s="20" t="n"/>
      <c r="E45" s="20" t="n"/>
    </row>
    <row r="47">
      <c r="A47" s="21" t="inlineStr">
        <is>
          <t>MENTENANTA + SUPORT (3 ani conform CdS)</t>
        </is>
      </c>
      <c r="B47" s="22" t="n"/>
      <c r="C47" s="22" t="n"/>
      <c r="D47" s="22" t="n"/>
      <c r="E47" s="23" t="n"/>
    </row>
    <row r="48">
      <c r="A48" s="1" t="inlineStr">
        <is>
          <t>Faza</t>
        </is>
      </c>
      <c r="B48" s="1" t="inlineStr">
        <is>
          <t>Estimat man-day</t>
        </is>
      </c>
      <c r="C48" s="1" t="inlineStr">
        <is>
          <t>Risk %</t>
        </is>
      </c>
      <c r="D48" s="1" t="inlineStr">
        <is>
          <t>Descriere risc</t>
        </is>
      </c>
      <c r="E48" s="1" t="inlineStr">
        <is>
          <t>Note / Livrabile</t>
        </is>
      </c>
    </row>
    <row r="49">
      <c r="A49" s="10" t="inlineStr">
        <is>
          <t>Mentenanta + suport L2+L3 (per AN; 3 ani conform CdS)</t>
        </is>
      </c>
      <c r="B49" s="13" t="n">
        <v>900</v>
      </c>
      <c r="C49" s="14" t="n">
        <v>0.25</v>
      </c>
      <c r="D49" s="10" t="inlineStr">
        <is>
          <t>Portal mare cu 56 servicii + 8 integrari externe + 185.000 useri/an = mentenanta substantiala; CVE-uri OWASP frecvente (lunar); APIs externe (ROeID, PNI, PCUe, ONRC etc.) se schimba periodic = adaptari obligatorii; modificari legislative impacteaza fluxuri servicii (frecvent in RO); SLA L2 4h response + L3 escaladare; on-call 24/7 pt. tier-1 servicii (autorizatii cu termen legal)</t>
        </is>
      </c>
      <c r="E49" s="10" t="inlineStr">
        <is>
          <t>BREAKDOWN ESTIMAT/AN: ~300z corrective (bug fixes 56 servicii P1/P2, fix-uri integrari externe care eseaza) + ~200z adaptive (compat update APIs parteneri, refresh dependinte sec, patch CVE-uri, modificari legislative) + ~200z perfective (mici imbunatatiri UX, optimizari) + ~200z on-call SLA L2+L3 (rezervare capacitate 24/7 pt. servicii critice cu termen legal). Echivaleaza ~4.3 FTE alocat. NU include change requests majore (servicii noi, redesign mare) - separate.</t>
        </is>
      </c>
    </row>
    <row r="50">
      <c r="A50" s="24" t="inlineStr">
        <is>
          <t>TOTAL MENTENANTA 3 ani (cumulativ)</t>
        </is>
      </c>
      <c r="B50" s="24">
        <f>B49*3</f>
        <v/>
      </c>
      <c r="C50" s="24" t="n"/>
      <c r="D50" s="24" t="n"/>
      <c r="E50" s="24" t="inlineStr">
        <is>
          <t>Conform CdS - garantie + suport L2+L3 pe 3 ani</t>
        </is>
      </c>
    </row>
  </sheetData>
  <mergeCells count="3">
    <mergeCell ref="A2:E2"/>
    <mergeCell ref="A47:E4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2026-05-13T21:49:30Z</dcterms:created>
  <dcterms:modified xmlns:dcterms="http://purl.org/dc/terms/" xmlns:xsi="http://www.w3.org/2001/XMLSchema-instance" xsi:type="dcterms:W3CDTF">2026-05-13T21:49:30Z</dcterms:modified>
</cp:coreProperties>
</file>